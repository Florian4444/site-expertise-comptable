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nier\OneDrive\Bureau\Site\BTS CG\Sujet BTS CG\"/>
    </mc:Choice>
  </mc:AlternateContent>
  <bookViews>
    <workbookView xWindow="0" yWindow="0" windowWidth="19200" windowHeight="5840" activeTab="1"/>
  </bookViews>
  <sheets>
    <sheet name="Mission 1" sheetId="4" r:id="rId1"/>
    <sheet name="Mission 2" sheetId="3" r:id="rId2"/>
    <sheet name="Mission 3" sheetId="1" r:id="rId3"/>
    <sheet name="Mission 4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4" i="4" l="1"/>
  <c r="F45" i="4" s="1"/>
  <c r="F42" i="4"/>
  <c r="E43" i="4" s="1"/>
  <c r="F51" i="4"/>
  <c r="F36" i="4"/>
  <c r="E32" i="4" s="1"/>
  <c r="F24" i="4"/>
  <c r="E14" i="4"/>
  <c r="E15" i="4" s="1"/>
  <c r="F16" i="4" s="1"/>
  <c r="E5" i="4"/>
  <c r="E4" i="4"/>
  <c r="F8" i="4" s="1"/>
  <c r="F17" i="4" l="1"/>
  <c r="E45" i="3"/>
  <c r="E46" i="3" s="1"/>
  <c r="F29" i="3"/>
  <c r="E19" i="3" l="1"/>
  <c r="E37" i="3" s="1"/>
  <c r="F38" i="3" s="1"/>
  <c r="E12" i="3"/>
  <c r="E8" i="3"/>
  <c r="B39" i="2" l="1"/>
  <c r="B38" i="2"/>
  <c r="B37" i="2"/>
  <c r="B36" i="2"/>
  <c r="B35" i="2"/>
  <c r="H48" i="2"/>
  <c r="C9" i="1"/>
  <c r="C11" i="1" s="1"/>
</calcChain>
</file>

<file path=xl/sharedStrings.xml><?xml version="1.0" encoding="utf-8"?>
<sst xmlns="http://schemas.openxmlformats.org/spreadsheetml/2006/main" count="331" uniqueCount="261">
  <si>
    <t>Éléments</t>
  </si>
  <si>
    <t>Montant</t>
  </si>
  <si>
    <t>Traitement fiscal</t>
  </si>
  <si>
    <t>Point de départ</t>
  </si>
  <si>
    <t>Réintégration : amende pour infraction</t>
  </si>
  <si>
    <t>Non déductible fiscalement</t>
  </si>
  <si>
    <t>Réintégration : dotation provision perte latente</t>
  </si>
  <si>
    <t>Non déductible (provision pour perte latente)</t>
  </si>
  <si>
    <t>Résultat fiscal</t>
  </si>
  <si>
    <t>Réintégration : don à organisme d'intérêt général</t>
  </si>
  <si>
    <t>Déduction : écart de conversion</t>
  </si>
  <si>
    <t>Certains dons permettent une réduction d’impôt. De ce fait, les dons ne sont</t>
  </si>
  <si>
    <t>pas déductibles et doivent faire l’objet d’une réintégration.</t>
  </si>
  <si>
    <t>Membre du foyer</t>
  </si>
  <si>
    <t>Activité</t>
  </si>
  <si>
    <t>Type de revenu</t>
  </si>
  <si>
    <t>Catégorie d’imposition</t>
  </si>
  <si>
    <t>Mère</t>
  </si>
  <si>
    <t>Bénéfice industriel et commercial (BIC)</t>
  </si>
  <si>
    <t>Mari</t>
  </si>
  <si>
    <t>Fille</t>
  </si>
  <si>
    <t>Traitements et salaires</t>
  </si>
  <si>
    <t>Fils</t>
  </si>
  <si>
    <t>Étudiant sans activité pro mentionnée</t>
  </si>
  <si>
    <t>Pas de revenu ou éventuel job étudiant</t>
  </si>
  <si>
    <t>(Rien à déclarer sauf revenus imposables)</t>
  </si>
  <si>
    <r>
      <t xml:space="preserve">Gérante d’une </t>
    </r>
    <r>
      <rPr>
        <b/>
        <sz val="11"/>
        <color theme="1"/>
        <rFont val="Calibri"/>
        <family val="2"/>
        <scheme val="minor"/>
      </rPr>
      <t>EURL de revente</t>
    </r>
    <r>
      <rPr>
        <sz val="11"/>
        <color theme="1"/>
        <rFont val="Calibri"/>
        <family val="2"/>
        <scheme val="minor"/>
      </rPr>
      <t xml:space="preserve"> (activité BIC)</t>
    </r>
  </si>
  <si>
    <r>
      <t xml:space="preserve">Dirige une </t>
    </r>
    <r>
      <rPr>
        <b/>
        <sz val="11"/>
        <color theme="1"/>
        <rFont val="Calibri"/>
        <family val="2"/>
        <scheme val="minor"/>
      </rPr>
      <t>entreprise apicole</t>
    </r>
  </si>
  <si>
    <r>
      <t>Salariée</t>
    </r>
    <r>
      <rPr>
        <sz val="11"/>
        <color theme="1"/>
        <rFont val="Calibri"/>
        <family val="2"/>
        <scheme val="minor"/>
      </rPr>
      <t xml:space="preserve"> de l’EURL familiale</t>
    </r>
  </si>
  <si>
    <t>BIC – l’EURL est soumise à l’IR</t>
  </si>
  <si>
    <t xml:space="preserve">Revenus agricoles </t>
  </si>
  <si>
    <r>
      <t xml:space="preserve"> </t>
    </r>
    <r>
      <rPr>
        <b/>
        <sz val="11"/>
        <color theme="1"/>
        <rFont val="Calibri"/>
        <family val="2"/>
        <scheme val="minor"/>
      </rPr>
      <t>BA</t>
    </r>
    <r>
      <rPr>
        <sz val="11"/>
        <color theme="1"/>
        <rFont val="Calibri"/>
        <family val="2"/>
        <scheme val="minor"/>
      </rPr>
      <t xml:space="preserve"> (bénéfices agricoles)</t>
    </r>
  </si>
  <si>
    <t>Membre</t>
  </si>
  <si>
    <t>Statut fiscal</t>
  </si>
  <si>
    <t>Parts</t>
  </si>
  <si>
    <t>Couple marié/pacsé</t>
  </si>
  <si>
    <t>Imposés conjointement</t>
  </si>
  <si>
    <t>2 parts</t>
  </si>
  <si>
    <t>0.5 part</t>
  </si>
  <si>
    <r>
      <t xml:space="preserve">Enfant rattaché, </t>
    </r>
    <r>
      <rPr>
        <b/>
        <sz val="11"/>
        <color theme="1"/>
        <rFont val="Calibri"/>
        <family val="2"/>
        <scheme val="minor"/>
      </rPr>
      <t>majeure salariée (&lt;21 ans)</t>
    </r>
  </si>
  <si>
    <t>Total</t>
  </si>
  <si>
    <t>Fils au lycée</t>
  </si>
  <si>
    <t xml:space="preserve">Rattaché au foyer </t>
  </si>
  <si>
    <t>3 parts</t>
  </si>
  <si>
    <t>Ils sont pris en compte dans le calcul (la perte est déductible fiscalement)</t>
  </si>
  <si>
    <r>
      <t>Impôt brut :</t>
    </r>
    <r>
      <rPr>
        <sz val="11"/>
        <color theme="1"/>
        <rFont val="Calibri"/>
        <family val="2"/>
        <scheme val="minor"/>
      </rPr>
      <t xml:space="preserve"> 13 136 €</t>
    </r>
  </si>
  <si>
    <r>
      <t>Réduction pour don (mécénat)</t>
    </r>
    <r>
      <rPr>
        <sz val="11"/>
        <color theme="1"/>
        <rFont val="Calibri"/>
        <family val="2"/>
        <scheme val="minor"/>
      </rPr>
      <t xml:space="preserve"> : don de </t>
    </r>
    <r>
      <rPr>
        <b/>
        <sz val="11"/>
        <color theme="1"/>
        <rFont val="Calibri"/>
        <family val="2"/>
        <scheme val="minor"/>
      </rPr>
      <t>650 €</t>
    </r>
    <r>
      <rPr>
        <sz val="11"/>
        <color theme="1"/>
        <rFont val="Calibri"/>
        <family val="2"/>
        <scheme val="minor"/>
      </rPr>
      <t xml:space="preserve">, réduction d'impôt à </t>
    </r>
    <r>
      <rPr>
        <b/>
        <sz val="11"/>
        <color theme="1"/>
        <rFont val="Calibri"/>
        <family val="2"/>
        <scheme val="minor"/>
      </rPr>
      <t>60 %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390 € (les 650 € ne dépassent pas 20 000 € =&gt; ok)</t>
    </r>
  </si>
  <si>
    <r>
      <t>Réduction pour frais de scolarité au lycée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1"/>
        <color theme="1"/>
        <rFont val="Calibri"/>
        <family val="2"/>
        <scheme val="minor"/>
      </rPr>
      <t>153 €</t>
    </r>
    <r>
      <rPr>
        <sz val="11"/>
        <color theme="1"/>
        <rFont val="Calibri"/>
        <family val="2"/>
        <scheme val="minor"/>
      </rPr>
      <t xml:space="preserve"> par enfant lycéen </t>
    </r>
  </si>
  <si>
    <r>
      <t xml:space="preserve">Impôt net= Impôt brut − Réductions=13 136 €− 543 € = </t>
    </r>
    <r>
      <rPr>
        <b/>
        <sz val="11"/>
        <color theme="1"/>
        <rFont val="Calibri"/>
        <family val="2"/>
        <scheme val="minor"/>
      </rPr>
      <t>12 593 €</t>
    </r>
    <r>
      <rPr>
        <sz val="11"/>
        <color theme="1"/>
        <rFont val="Calibri"/>
        <family val="2"/>
        <scheme val="minor"/>
      </rPr>
      <t>​</t>
    </r>
  </si>
  <si>
    <t xml:space="preserve"> 0.5 part</t>
  </si>
  <si>
    <t>Calcul du résultat fiscal</t>
  </si>
  <si>
    <t>Préparation de la déclaration des revenus</t>
  </si>
  <si>
    <t>Calcul de l'IR</t>
  </si>
  <si>
    <t>Début</t>
  </si>
  <si>
    <t xml:space="preserve">    prime_pro ← nb_pro × 100</t>
  </si>
  <si>
    <t xml:space="preserve">    prime_totale ← prime_pro + prime_stagiaire</t>
  </si>
  <si>
    <t xml:space="preserve">    total_clients ← nb_pro + nb_stagiaire</t>
  </si>
  <si>
    <t xml:space="preserve">    Si total_clients &gt; 30 Alors</t>
  </si>
  <si>
    <t xml:space="preserve">        prime_totale ← prime_totale × 2</t>
  </si>
  <si>
    <t xml:space="preserve">    Fin Si</t>
  </si>
  <si>
    <t xml:space="preserve">    Afficher "Prime mensuelle : ", prime_totale, " €"</t>
  </si>
  <si>
    <t>Fin</t>
  </si>
  <si>
    <t>Calcul prime d'objectifs</t>
  </si>
  <si>
    <t>Nombre de nouveaux clients pro.</t>
  </si>
  <si>
    <t>Nombre de nouveaux clients stagaires.</t>
  </si>
  <si>
    <t>Prime mensuelle</t>
  </si>
  <si>
    <t>Montant accordée pour chaque nouveau client pro.</t>
  </si>
  <si>
    <t>Montant accordée pour chaque nouveau client stagiaire.</t>
  </si>
  <si>
    <t xml:space="preserve">    // 1. Saisie des données</t>
  </si>
  <si>
    <t xml:space="preserve">    Lire nb_stagiaire    // nombre de nouveaux clients "stagiaire"</t>
  </si>
  <si>
    <t xml:space="preserve">    // 2. Calcul de la prime de base</t>
  </si>
  <si>
    <t xml:space="preserve">    prime_stagiaire ← nb_stagiaire × 5</t>
  </si>
  <si>
    <t xml:space="preserve">    // 3. Vérification du bonus de dépassement</t>
  </si>
  <si>
    <t xml:space="preserve">    // 4. Affichage du résultat</t>
  </si>
  <si>
    <t xml:space="preserve">    Lire nb_pro          // nombre de nouveaux clients "profesionnel"</t>
  </si>
  <si>
    <t>SI(H8+H9&gt;30;(H8*J8+H9*J9)*2;H8*J8+H9*J9)</t>
  </si>
  <si>
    <t>Vérification de la durée du temps de travail</t>
  </si>
  <si>
    <t>Règles :</t>
  </si>
  <si>
    <t>La durée quotidienne de travail effectif par salarié ne peut excéder 10 heures.</t>
  </si>
  <si>
    <r>
      <t>44 heures en moyenne</t>
    </r>
    <r>
      <rPr>
        <sz val="11"/>
        <color theme="1"/>
        <rFont val="Calibri"/>
        <family val="2"/>
        <scheme val="minor"/>
      </rPr>
      <t xml:space="preserve"> par semaine sur une période de </t>
    </r>
    <r>
      <rPr>
        <b/>
        <sz val="11"/>
        <color theme="1"/>
        <rFont val="Calibri"/>
        <family val="2"/>
        <scheme val="minor"/>
      </rPr>
      <t>12 semaines consécutives</t>
    </r>
    <r>
      <rPr>
        <sz val="11"/>
        <color theme="1"/>
        <rFont val="Calibri"/>
        <family val="2"/>
        <scheme val="minor"/>
      </rPr>
      <t xml:space="preserve"> (durée maximale moyenne)</t>
    </r>
  </si>
  <si>
    <t>48 heures sur une même semaine (durée maximale absolue).</t>
  </si>
  <si>
    <r>
      <t xml:space="preserve">Par dérogation, la durée maximale sur une semaine peut être augmentée, en cas de circonstances exceptionnelles, jusqu'à 60 heures maximum. Pour cela, l'inspection du travail doit donner son accord </t>
    </r>
    <r>
      <rPr>
        <b/>
        <sz val="11"/>
        <color theme="1"/>
        <rFont val="Calibri"/>
        <family val="2"/>
        <scheme val="minor"/>
      </rPr>
      <t>(hors sujet).</t>
    </r>
  </si>
  <si>
    <t>Semaine 1</t>
  </si>
  <si>
    <t>Semaine 2</t>
  </si>
  <si>
    <t>Semaine 3</t>
  </si>
  <si>
    <t>Semaine 4</t>
  </si>
  <si>
    <t>Semaine 5</t>
  </si>
  <si>
    <t>Heures travaillées</t>
  </si>
  <si>
    <t>ok</t>
  </si>
  <si>
    <t>&gt; 48 heures (durée maximale absolue). Il faut enlever 1 heure (le mardi, on dépasse les 10 heures (11heures &gt; 10 heures)</t>
  </si>
  <si>
    <t>Vérification</t>
  </si>
  <si>
    <t>Contrôle le montant des DAP</t>
  </si>
  <si>
    <t>Procéder aux régualisation d'inventaire des clients</t>
  </si>
  <si>
    <t>Justifier le montant des  intérêts</t>
  </si>
  <si>
    <t>Comptabiliser la régularisation d'inventaire de la facture de campagne publicitaire</t>
  </si>
  <si>
    <t>Enregistrer les écritures liées à la perte de change latente</t>
  </si>
  <si>
    <t>Meuble / Paillasse</t>
  </si>
  <si>
    <t>Base amortissable = 2 690 €</t>
  </si>
  <si>
    <t>Durée = 5 ans</t>
  </si>
  <si>
    <t>Date = 01.12.24</t>
  </si>
  <si>
    <t>Calcul = 2 690 / 5 *1 /12</t>
  </si>
  <si>
    <t>Plaque chauffante</t>
  </si>
  <si>
    <t>Base amortissable = 989,6 €</t>
  </si>
  <si>
    <t>Durée = 3 ans</t>
  </si>
  <si>
    <t>Calcul = 989,6 / " *1 /12</t>
  </si>
  <si>
    <t>Client LUDO</t>
  </si>
  <si>
    <t>Il faut réaliser une dépréciation pour 60 % de sa valeur HT</t>
  </si>
  <si>
    <t>Calcul = 1 200 / 1,2 *0,6</t>
  </si>
  <si>
    <t>Client Camillia</t>
  </si>
  <si>
    <t>Client irrécouvrable (la disparition du client est dîument établie).</t>
  </si>
  <si>
    <t>OD</t>
  </si>
  <si>
    <t>D</t>
  </si>
  <si>
    <t>C</t>
  </si>
  <si>
    <t>Créances douteuses</t>
  </si>
  <si>
    <t>681740 Dotations aux dépréciations des créances</t>
  </si>
  <si>
    <t xml:space="preserve">491000 Dépréciations des créances </t>
  </si>
  <si>
    <t>31.12.2024</t>
  </si>
  <si>
    <t>411CLLUDO</t>
  </si>
  <si>
    <t>Par la suite, il faut constater une dépréciation de la créance.</t>
  </si>
  <si>
    <t>Dépréciation de la créance LUDO</t>
  </si>
  <si>
    <t>Création de la créance douteuse de LUDO</t>
  </si>
  <si>
    <t>Pertes sur créances irré.</t>
  </si>
  <si>
    <t>Créance irrécouvrable TeaTime</t>
  </si>
  <si>
    <t>411CLPART</t>
  </si>
  <si>
    <t>Créances Camillia</t>
  </si>
  <si>
    <t>Par la suite, il faudra solder le compte 416 dans la seconde écriture.</t>
  </si>
  <si>
    <t>NB : par simplification, j'ai passé directement le compte 411CLPART. Il est possible de réaliser une 1ère écriture en soldant le compte 411CLPART et de créer le compte 416.</t>
  </si>
  <si>
    <t>Attention, il faut se baser sur les intérêts du 05.01.25 pour un montant de 80,3 €. Sur ce montant de 80,3 €, il faut intégrer cette charge au sein de l'exercice 2024 pour</t>
  </si>
  <si>
    <r>
      <t xml:space="preserve">une période du 05.12 au 31.12, soit </t>
    </r>
    <r>
      <rPr>
        <b/>
        <sz val="11"/>
        <color theme="1"/>
        <rFont val="Calibri"/>
        <family val="2"/>
        <scheme val="minor"/>
      </rPr>
      <t>27 jours.</t>
    </r>
  </si>
  <si>
    <t>Calcul = 80,3 * 27/31 = 69,94 €</t>
  </si>
  <si>
    <t>(Principe indépendance des exercices)</t>
  </si>
  <si>
    <t>La période de la campagne va du 01/10 au 31.01/25. Il faut comptabliser une CCA pour le mois de janvier qui correspond à l'exercice suivant.</t>
  </si>
  <si>
    <t>CCA = 600*1/4  = 150 €</t>
  </si>
  <si>
    <t>CCA</t>
  </si>
  <si>
    <t>Publicité</t>
  </si>
  <si>
    <t xml:space="preserve">CCA - Espace FM - 1 mois </t>
  </si>
  <si>
    <t>Différence de conversion - Actif</t>
  </si>
  <si>
    <t>401FRPROD</t>
  </si>
  <si>
    <t>Frs PRODIGNA</t>
  </si>
  <si>
    <t>Constatation de l'écart de conversion</t>
  </si>
  <si>
    <t>Dotations aux provisions d'exploitation</t>
  </si>
  <si>
    <t>Provisions pour perte de change</t>
  </si>
  <si>
    <t>Constatation de la perte de change</t>
  </si>
  <si>
    <t>AC</t>
  </si>
  <si>
    <t>11.12.24</t>
  </si>
  <si>
    <t>Achats pots de miel</t>
  </si>
  <si>
    <t>Achats MP naturelles</t>
  </si>
  <si>
    <t>TVA ABS 5,5%</t>
  </si>
  <si>
    <t>TVA ABS 20%</t>
  </si>
  <si>
    <t>401FRBEEF</t>
  </si>
  <si>
    <t>Frs BEE FRIEND</t>
  </si>
  <si>
    <t>Fact n°2024-856</t>
  </si>
  <si>
    <t>(315*98%)</t>
  </si>
  <si>
    <t>(32,5+66,60)*98%</t>
  </si>
  <si>
    <t>13.12.24</t>
  </si>
  <si>
    <t>Achats MP autres</t>
  </si>
  <si>
    <t>TVA du intracom.</t>
  </si>
  <si>
    <t>PLN</t>
  </si>
  <si>
    <t>?</t>
  </si>
  <si>
    <t>Pologne = UE =&gt; autoliquidation de la TVA</t>
  </si>
  <si>
    <t>Fact n° FR 258</t>
  </si>
  <si>
    <t>VT</t>
  </si>
  <si>
    <t>02.12.24</t>
  </si>
  <si>
    <t>quand l’opération de vente est soumise à TVA</t>
  </si>
  <si>
    <t>La TVA est exigible sur tous les acomptes</t>
  </si>
  <si>
    <t>Banque</t>
  </si>
  <si>
    <t>Avances hôtel de Forges</t>
  </si>
  <si>
    <t>TVA à régulariser</t>
  </si>
  <si>
    <t>TVA collectée 20%</t>
  </si>
  <si>
    <t>Acompte n°12</t>
  </si>
  <si>
    <t>PS - Formations</t>
  </si>
  <si>
    <t>440 - 110</t>
  </si>
  <si>
    <t>Facture n°FO/12</t>
  </si>
  <si>
    <t>411CLFORG</t>
  </si>
  <si>
    <t>Clients Forges</t>
  </si>
  <si>
    <t>Pour aller plus loin - Chapitre 6 - P1</t>
  </si>
  <si>
    <t>https://www.comprendre-la-compta-gestion.com/p1-contr%C3%B4le-et-traitement-comptable</t>
  </si>
  <si>
    <t>Pour aller plus loin - Chapitre 9 - P1</t>
  </si>
  <si>
    <t>TVA en attente =&gt; régime de l'encaissement</t>
  </si>
  <si>
    <t>28.12.24</t>
  </si>
  <si>
    <t>BQ</t>
  </si>
  <si>
    <t>29.12.24</t>
  </si>
  <si>
    <t>Au règlement, la TVA restante devient collectée (passage au compte 44571)</t>
  </si>
  <si>
    <t>TVA collectée</t>
  </si>
  <si>
    <t>30.12.24</t>
  </si>
  <si>
    <t>Rgt Frs BEE FRIEND</t>
  </si>
  <si>
    <t>Paiement Client hôtel de la forges</t>
  </si>
  <si>
    <t>Enregistrer les factures et les opérations de trésorerie en attente.</t>
  </si>
  <si>
    <t>Rédiger une requête en SQL permettant d'afficher le nom des clients particuliers et leurs adresses de messagerie.</t>
  </si>
  <si>
    <t>SELECT Nom_client, Mail_client</t>
  </si>
  <si>
    <t>FROM CLIENT, CATEGORIE_CLIENT</t>
  </si>
  <si>
    <t>WHERE CLIENT.Num_catégorie = CATEGORIE_CLIENT.Num_catégorie</t>
  </si>
  <si>
    <t>AND Nom_catégorie = 'clients particuliers';</t>
  </si>
  <si>
    <t>Présenter la formule de calcul ou l'agorithme permettant d'automatiser le montant total de la prime mensuelle</t>
  </si>
  <si>
    <t>Expliquer les situations personnelles des 2 salariés en répondant par courriel à madame Fleury</t>
  </si>
  <si>
    <t>Madame,</t>
  </si>
  <si>
    <t>Je reste à votre disposition pour tout renseignement complémentaire.</t>
  </si>
  <si>
    <t>Cordialement.</t>
  </si>
  <si>
    <t>Le Comptable</t>
  </si>
  <si>
    <t>De : comptable@beehappy.fr</t>
  </si>
  <si>
    <t>Objet : Demandes de 2 salariés</t>
  </si>
  <si>
    <t>Le : 15.12.2024</t>
  </si>
  <si>
    <t>A : fleury@beehappy.fr</t>
  </si>
  <si>
    <t>Dans notre situation 912 €. Vous pouvez donc refuser l'acompte de 1 300 € et ne verser que  912 €.</t>
  </si>
  <si>
    <r>
      <t xml:space="preserve">Pour Mme VERNOOTE, le montant de l’acompte sur salaire que peut demander un salarié correspond à la </t>
    </r>
    <r>
      <rPr>
        <b/>
        <sz val="11"/>
        <color theme="1"/>
        <rFont val="Calibri"/>
        <family val="2"/>
        <scheme val="minor"/>
      </rPr>
      <t>moitié de la rémunération mensuelle</t>
    </r>
    <r>
      <rPr>
        <sz val="11"/>
        <color theme="1"/>
        <rFont val="Calibri"/>
        <family val="2"/>
        <scheme val="minor"/>
      </rPr>
      <t>.</t>
    </r>
  </si>
  <si>
    <r>
      <t xml:space="preserve">Nombre d'heures d'absence : </t>
    </r>
    <r>
      <rPr>
        <b/>
        <sz val="11"/>
        <color theme="1"/>
        <rFont val="Calibri"/>
        <family val="2"/>
        <scheme val="minor"/>
      </rPr>
      <t>4 jours × 7 h = 28 heures</t>
    </r>
  </si>
  <si>
    <t>Pour aller plus loin - Chapitre 2 - P4</t>
  </si>
  <si>
    <t>Pour aller plus loin - Chapitre 1 - P4</t>
  </si>
  <si>
    <t>https://www.comprendre-la-compta-gestion.com/p4</t>
  </si>
  <si>
    <t>https://www.comprendre-la-compta-gestion.com/p2-contr%C3%B4le-et-production-de-l-info</t>
  </si>
  <si>
    <t>Pour aller plus loin - Chapitre 7 - P2</t>
  </si>
  <si>
    <t>Pour aller plus loin - Chapitre 4 - P2</t>
  </si>
  <si>
    <t>Pour aller plus loin - Chapitre 12 - P2</t>
  </si>
  <si>
    <t>Pour aller plus loin - Chapitre 6 - P2</t>
  </si>
  <si>
    <t>https://www.comprendre-la-compta-gestion.com/p3</t>
  </si>
  <si>
    <t>Pour aller plus loin - Chapitre 9 - P3</t>
  </si>
  <si>
    <t>Pour aller plus loin - Chapitre 5 - P3</t>
  </si>
  <si>
    <t>Pour aller plus loin - Chapitre 7 - P3</t>
  </si>
  <si>
    <t>D’après le principe d’indépendance (ou de séparation) des exercices, les comptes d’un exercice</t>
  </si>
  <si>
    <t>doivent comprendre :</t>
  </si>
  <si>
    <t>- tous les produits et charges concernant cet exercice, y compris ceux non encore facturés ;</t>
  </si>
  <si>
    <t>- uniquement les produits et charges concernant cet exercice, en excluant donc les produits et</t>
  </si>
  <si>
    <t>charges déjà enregistrés (car facturés), mais qui intéressent l’exercice suivant.</t>
  </si>
  <si>
    <t>(…) (suite du cours sur le site)</t>
  </si>
  <si>
    <r>
      <rPr>
        <b/>
        <sz val="11"/>
        <color theme="1"/>
        <rFont val="Calibri"/>
        <family val="2"/>
        <scheme val="minor"/>
      </rPr>
      <t>Principe d’indépendance des exercice</t>
    </r>
    <r>
      <rPr>
        <sz val="11"/>
        <color theme="1"/>
        <rFont val="Calibri"/>
        <family val="2"/>
        <scheme val="minor"/>
      </rPr>
      <t>s - La vie d’une entreprise est découpée en exercices comptables d’une même durée (un an sauf exception). Les opérations doivent être rattachées à l’exercice qui a vu leur apparition, et ce, quelle que soit leur date de règlement.</t>
    </r>
  </si>
  <si>
    <t>Principe de prudence :</t>
  </si>
  <si>
    <t>Il faut enregistrer en comptabilité tous les éléments probables ou certains susceptibles de diminuer la valeur du patrimoine ou de menacer la situation à venir de l’entreprise. Par contre, les éléments susceptibles d’enrichir l’entreprise ne sont pas pris en compte.</t>
  </si>
  <si>
    <t>À la clôture de l’exercice, il convient de dégager parmi l’ensemble des créances clients celles qui sont</t>
  </si>
  <si>
    <t>douteuses et celles qui sont irrécouvrables.</t>
  </si>
  <si>
    <t>Les créances douteuses sont celles dont le recouvrement est douteux. On va estimer qu’un client est</t>
  </si>
  <si>
    <t>douteux en fonction du nombre de jours de retard par rapport au délai accordé. En effet, plus le retard</t>
  </si>
  <si>
    <t>est important, plus il y a des chances que la créance demeure impayée.</t>
  </si>
  <si>
    <t>Les créances irrécouvrables sont des créances définitivement perdues qui par conséquent ne doivent plus</t>
  </si>
  <si>
    <t>figurer à l’actif.</t>
  </si>
  <si>
    <t>Le premier travail du comptable consiste à transférer cette créance dans un compte de</t>
  </si>
  <si>
    <t>créances douteuses, afin de l’isoler et d’en faciliter le suivi.</t>
  </si>
  <si>
    <t>Enfin, s’il s’avère que le client ne paiera pas tout ou partie de sa créance, la perte devient</t>
  </si>
  <si>
    <t>irrécouvrable. Dans ce cas, il n’y a plus un risque de perte, mais une perte avérée. Le comptable doit</t>
  </si>
  <si>
    <t>donc solder tous les comptes de dépréciations liés à cette créance (puisqu’ils n’ont plus lieu d’être)</t>
  </si>
  <si>
    <t>et enregistrer une perte sur créances irrécouvrables.</t>
  </si>
  <si>
    <t>La créance Camillia correspond à une créance irrécouvrable</t>
  </si>
  <si>
    <t>Les méthodes de tenue de la comptabilité choisies par l’entreprise doivent être conservées dans le temps sur plusieurs exercices (sauf exception).</t>
  </si>
  <si>
    <t>Le principe de la permanence des méthodes</t>
  </si>
  <si>
    <t>(1/12 correspond au mois de décembre 2024)</t>
  </si>
  <si>
    <t>La perte de change, vient augmenter la dette Frs (d'où le compte au crédit).</t>
  </si>
  <si>
    <t>En contrepartie, on utilise le compte 476 pour solder l'écriture.</t>
  </si>
  <si>
    <t xml:space="preserve">Par le principe de prudence, il faut constater la perte latente dans les charges. </t>
  </si>
  <si>
    <t>Difficulté de l'écriture = répartir la remise entre les 2 comptes 607 et 601.</t>
  </si>
  <si>
    <t>Difficulté de l'écriture = acquisition intracom. Se pose la problématique de l'autoliquidation de la TVA.</t>
  </si>
  <si>
    <t>De plus, la Pologne n'utilise pas l'€ d'où la conversion de la facture.</t>
  </si>
  <si>
    <t xml:space="preserve"> =&gt; 10 425 PLN * 1 € / 4,66 PLN (produit en croix)</t>
  </si>
  <si>
    <r>
      <t>Difficultés pour les opérations suivantes :</t>
    </r>
    <r>
      <rPr>
        <b/>
        <sz val="11"/>
        <color theme="1"/>
        <rFont val="Calibri"/>
        <family val="2"/>
        <scheme val="minor"/>
      </rPr>
      <t xml:space="preserve"> l'exigibilité de la TVA via une prestation de service</t>
    </r>
  </si>
  <si>
    <t>On a reçu le paiement, on peut reverser la TVA de 330 €</t>
  </si>
  <si>
    <t>Résultat fiscal (provisoire)</t>
  </si>
  <si>
    <t>D'où le terme résultat fiscal provisoire.</t>
  </si>
  <si>
    <t>Résultat comptable / Résultat fiscal provisoire ? Il y avait déjà des retraitements fiscaux qui ont été réalisés mais non demandés dans le sujet ( par exemple la rémunération de la dirigeante).</t>
  </si>
  <si>
    <r>
      <t>Jours réellement travaillés : 22</t>
    </r>
    <r>
      <rPr>
        <b/>
        <sz val="11"/>
        <color theme="1"/>
        <rFont val="Calibri"/>
        <family val="2"/>
        <scheme val="minor"/>
      </rPr>
      <t xml:space="preserve"> jours ouvrés travaillés (le 25 décembre est un jour travaillé d'après le sujet)</t>
    </r>
  </si>
  <si>
    <r>
      <t xml:space="preserve">Heures réelles de travail dans le mois : 22 jours × 7 h/jour = </t>
    </r>
    <r>
      <rPr>
        <b/>
        <sz val="11"/>
        <color theme="1"/>
        <rFont val="Calibri"/>
        <family val="2"/>
        <scheme val="minor"/>
      </rPr>
      <t>154 heures</t>
    </r>
  </si>
  <si>
    <t>Taux horaire réel=  2 100€ / 154h​ ≈13,64€/h</t>
  </si>
  <si>
    <t>Retenue= 28h × 13,64€/h = 381 €</t>
  </si>
  <si>
    <t>Pour M. BEAUDUIN la retenue sera de 381 €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</si>
</sst>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[$€-40C]_-;\-* #,##0.00\ [$€-40C]_-;_-* &quot;-&quot;??\ [$€-40C]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6" fontId="0" fillId="0" borderId="1" xfId="0" applyNumberFormat="1" applyBorder="1" applyAlignment="1">
      <alignment horizontal="right"/>
    </xf>
    <xf numFmtId="8" fontId="0" fillId="0" borderId="1" xfId="0" applyNumberFormat="1" applyBorder="1" applyAlignment="1">
      <alignment horizontal="right"/>
    </xf>
    <xf numFmtId="6" fontId="0" fillId="0" borderId="1" xfId="0" applyNumberFormat="1" applyBorder="1"/>
    <xf numFmtId="0" fontId="0" fillId="0" borderId="0" xfId="0" applyAlignment="1">
      <alignment horizontal="left" vertical="center" indent="1"/>
    </xf>
    <xf numFmtId="0" fontId="3" fillId="0" borderId="0" xfId="0" applyFont="1"/>
    <xf numFmtId="0" fontId="0" fillId="0" borderId="1" xfId="0" applyBorder="1" applyAlignment="1">
      <alignment horizontal="center"/>
    </xf>
    <xf numFmtId="44" fontId="0" fillId="0" borderId="0" xfId="1" applyFont="1"/>
    <xf numFmtId="0" fontId="5" fillId="0" borderId="0" xfId="0" applyFont="1"/>
    <xf numFmtId="44" fontId="1" fillId="0" borderId="0" xfId="1" applyFont="1"/>
    <xf numFmtId="0" fontId="0" fillId="0" borderId="2" xfId="0" applyBorder="1"/>
    <xf numFmtId="0" fontId="0" fillId="0" borderId="0" xfId="0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0" xfId="0" quotePrefix="1" applyNumberFormat="1"/>
    <xf numFmtId="164" fontId="0" fillId="0" borderId="5" xfId="0" applyNumberFormat="1" applyBorder="1"/>
    <xf numFmtId="164" fontId="0" fillId="0" borderId="6" xfId="0" applyNumberFormat="1" applyBorder="1"/>
    <xf numFmtId="164" fontId="0" fillId="0" borderId="0" xfId="0" applyNumberFormat="1" applyBorder="1"/>
    <xf numFmtId="164" fontId="0" fillId="0" borderId="7" xfId="0" quotePrefix="1" applyNumberFormat="1" applyBorder="1"/>
    <xf numFmtId="164" fontId="0" fillId="0" borderId="7" xfId="0" applyNumberFormat="1" applyBorder="1"/>
    <xf numFmtId="164" fontId="0" fillId="0" borderId="5" xfId="0" quotePrefix="1" applyNumberFormat="1" applyBorder="1"/>
    <xf numFmtId="164" fontId="0" fillId="0" borderId="0" xfId="0" applyNumberFormat="1"/>
    <xf numFmtId="6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64" fontId="0" fillId="0" borderId="0" xfId="0" quotePrefix="1" applyNumberFormat="1" applyBorder="1"/>
    <xf numFmtId="0" fontId="6" fillId="0" borderId="0" xfId="0" applyFont="1"/>
    <xf numFmtId="0" fontId="0" fillId="2" borderId="0" xfId="0" applyFill="1"/>
    <xf numFmtId="0" fontId="6" fillId="0" borderId="0" xfId="0" applyFont="1" applyFill="1"/>
    <xf numFmtId="0" fontId="0" fillId="0" borderId="0" xfId="0" applyFill="1"/>
    <xf numFmtId="0" fontId="7" fillId="0" borderId="0" xfId="0" applyFont="1"/>
    <xf numFmtId="0" fontId="5" fillId="0" borderId="0" xfId="0" applyFont="1" applyBorder="1"/>
    <xf numFmtId="0" fontId="3" fillId="0" borderId="0" xfId="0" applyFont="1" applyBorder="1"/>
    <xf numFmtId="164" fontId="1" fillId="0" borderId="4" xfId="0" applyNumberFormat="1" applyFont="1" applyBorder="1"/>
    <xf numFmtId="164" fontId="1" fillId="0" borderId="0" xfId="0" quotePrefix="1" applyNumberFormat="1" applyFont="1" applyBorder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opLeftCell="A24" workbookViewId="0">
      <selection activeCell="C35" sqref="C35"/>
    </sheetView>
  </sheetViews>
  <sheetFormatPr baseColWidth="10" defaultRowHeight="14.5" x14ac:dyDescent="0.35"/>
  <cols>
    <col min="5" max="5" width="13.36328125" bestFit="1" customWidth="1"/>
  </cols>
  <sheetData>
    <row r="1" spans="1:10" x14ac:dyDescent="0.35">
      <c r="A1" s="1" t="s">
        <v>187</v>
      </c>
    </row>
    <row r="2" spans="1:10" x14ac:dyDescent="0.35">
      <c r="A2" s="16"/>
      <c r="B2" s="16"/>
      <c r="C2" s="16"/>
      <c r="D2" s="17" t="s">
        <v>144</v>
      </c>
      <c r="E2" s="18"/>
      <c r="F2" s="18"/>
    </row>
    <row r="3" spans="1:10" x14ac:dyDescent="0.35">
      <c r="A3" t="s">
        <v>143</v>
      </c>
      <c r="E3" s="19" t="s">
        <v>111</v>
      </c>
      <c r="F3" s="19" t="s">
        <v>112</v>
      </c>
    </row>
    <row r="4" spans="1:10" x14ac:dyDescent="0.35">
      <c r="B4">
        <v>607110</v>
      </c>
      <c r="C4" t="s">
        <v>145</v>
      </c>
      <c r="E4" s="20">
        <f>315*98%</f>
        <v>308.7</v>
      </c>
      <c r="F4" s="20"/>
      <c r="G4" t="s">
        <v>152</v>
      </c>
      <c r="I4" s="1" t="s">
        <v>247</v>
      </c>
    </row>
    <row r="5" spans="1:10" x14ac:dyDescent="0.35">
      <c r="B5">
        <v>601100</v>
      </c>
      <c r="C5" t="s">
        <v>146</v>
      </c>
      <c r="E5" s="21">
        <f>+(32.5+66.6)*98%</f>
        <v>97.117999999999995</v>
      </c>
      <c r="F5" s="22"/>
      <c r="G5" t="s">
        <v>153</v>
      </c>
    </row>
    <row r="6" spans="1:10" x14ac:dyDescent="0.35">
      <c r="B6">
        <v>445661</v>
      </c>
      <c r="C6" t="s">
        <v>147</v>
      </c>
      <c r="E6" s="20">
        <v>16.98</v>
      </c>
      <c r="F6" s="20"/>
    </row>
    <row r="7" spans="1:10" x14ac:dyDescent="0.35">
      <c r="B7">
        <v>444662</v>
      </c>
      <c r="C7" t="s">
        <v>148</v>
      </c>
      <c r="E7" s="20">
        <v>19.420000000000002</v>
      </c>
      <c r="F7" s="20"/>
      <c r="I7" s="33" t="s">
        <v>177</v>
      </c>
    </row>
    <row r="8" spans="1:10" x14ac:dyDescent="0.35">
      <c r="C8" t="s">
        <v>149</v>
      </c>
      <c r="D8" t="s">
        <v>150</v>
      </c>
      <c r="F8" s="28">
        <f>+SUM(E4:E7)</f>
        <v>442.21800000000002</v>
      </c>
      <c r="I8" s="33" t="s">
        <v>176</v>
      </c>
    </row>
    <row r="9" spans="1:10" x14ac:dyDescent="0.35">
      <c r="A9" t="s">
        <v>151</v>
      </c>
    </row>
    <row r="12" spans="1:10" x14ac:dyDescent="0.35">
      <c r="A12" s="16"/>
      <c r="B12" s="16"/>
      <c r="C12" s="16"/>
      <c r="D12" s="17" t="s">
        <v>154</v>
      </c>
      <c r="E12" s="18"/>
      <c r="F12" s="18"/>
      <c r="H12" t="s">
        <v>159</v>
      </c>
    </row>
    <row r="13" spans="1:10" x14ac:dyDescent="0.35">
      <c r="A13" t="s">
        <v>143</v>
      </c>
      <c r="E13" s="19" t="s">
        <v>111</v>
      </c>
      <c r="F13" s="19" t="s">
        <v>112</v>
      </c>
    </row>
    <row r="14" spans="1:10" x14ac:dyDescent="0.35">
      <c r="B14">
        <v>601200</v>
      </c>
      <c r="C14" t="s">
        <v>155</v>
      </c>
      <c r="E14" s="20">
        <f>+I15/I14</f>
        <v>2237.1244635193134</v>
      </c>
      <c r="F14" s="20"/>
      <c r="H14" s="29">
        <v>1</v>
      </c>
      <c r="I14">
        <v>4.66</v>
      </c>
      <c r="J14" t="s">
        <v>157</v>
      </c>
    </row>
    <row r="15" spans="1:10" x14ac:dyDescent="0.35">
      <c r="B15">
        <v>444662</v>
      </c>
      <c r="C15" t="s">
        <v>148</v>
      </c>
      <c r="E15" s="21">
        <f>+E14*20%</f>
        <v>447.42489270386272</v>
      </c>
      <c r="F15" s="22"/>
      <c r="H15" s="31" t="s">
        <v>158</v>
      </c>
      <c r="I15" s="30">
        <v>10425</v>
      </c>
      <c r="J15" t="s">
        <v>157</v>
      </c>
    </row>
    <row r="16" spans="1:10" x14ac:dyDescent="0.35">
      <c r="C16">
        <v>445200</v>
      </c>
      <c r="D16" t="s">
        <v>156</v>
      </c>
      <c r="E16" s="20"/>
      <c r="F16" s="20">
        <f>+E15</f>
        <v>447.42489270386272</v>
      </c>
    </row>
    <row r="17" spans="1:9" x14ac:dyDescent="0.35">
      <c r="C17" t="s">
        <v>137</v>
      </c>
      <c r="D17" t="s">
        <v>138</v>
      </c>
      <c r="E17" s="20"/>
      <c r="F17" s="20">
        <f>+E14</f>
        <v>2237.1244635193134</v>
      </c>
      <c r="H17" s="1" t="s">
        <v>248</v>
      </c>
      <c r="I17" s="1"/>
    </row>
    <row r="18" spans="1:9" x14ac:dyDescent="0.35">
      <c r="A18" t="s">
        <v>160</v>
      </c>
      <c r="F18" s="28"/>
      <c r="H18" t="s">
        <v>249</v>
      </c>
    </row>
    <row r="19" spans="1:9" x14ac:dyDescent="0.35">
      <c r="H19" t="s">
        <v>250</v>
      </c>
    </row>
    <row r="21" spans="1:9" x14ac:dyDescent="0.35">
      <c r="A21" s="16"/>
      <c r="B21" s="16"/>
      <c r="C21" s="16"/>
      <c r="D21" s="17" t="s">
        <v>162</v>
      </c>
      <c r="E21" s="18"/>
      <c r="F21" s="18"/>
    </row>
    <row r="22" spans="1:9" x14ac:dyDescent="0.35">
      <c r="A22" t="s">
        <v>161</v>
      </c>
      <c r="E22" s="19" t="s">
        <v>111</v>
      </c>
      <c r="F22" s="19" t="s">
        <v>112</v>
      </c>
    </row>
    <row r="23" spans="1:9" x14ac:dyDescent="0.35">
      <c r="B23">
        <v>512000</v>
      </c>
      <c r="C23" t="s">
        <v>165</v>
      </c>
      <c r="E23" s="20">
        <v>660</v>
      </c>
      <c r="F23" s="20"/>
      <c r="H23" t="s">
        <v>164</v>
      </c>
    </row>
    <row r="24" spans="1:9" x14ac:dyDescent="0.35">
      <c r="C24">
        <v>419100</v>
      </c>
      <c r="D24" t="s">
        <v>166</v>
      </c>
      <c r="E24" s="21"/>
      <c r="F24" s="22">
        <f>E23</f>
        <v>660</v>
      </c>
      <c r="H24" t="s">
        <v>163</v>
      </c>
    </row>
    <row r="25" spans="1:9" x14ac:dyDescent="0.35">
      <c r="B25" s="1">
        <v>445800</v>
      </c>
      <c r="C25" s="1" t="s">
        <v>167</v>
      </c>
      <c r="D25" s="1"/>
      <c r="E25" s="40">
        <v>110</v>
      </c>
      <c r="F25" s="40"/>
    </row>
    <row r="26" spans="1:9" x14ac:dyDescent="0.35">
      <c r="B26" s="1"/>
      <c r="C26" s="1">
        <v>445712</v>
      </c>
      <c r="D26" s="1" t="s">
        <v>168</v>
      </c>
      <c r="E26" s="40"/>
      <c r="F26" s="40">
        <v>110</v>
      </c>
    </row>
    <row r="27" spans="1:9" x14ac:dyDescent="0.35">
      <c r="A27" t="s">
        <v>169</v>
      </c>
      <c r="H27" t="s">
        <v>251</v>
      </c>
    </row>
    <row r="30" spans="1:9" x14ac:dyDescent="0.35">
      <c r="A30" s="16"/>
      <c r="B30" s="16"/>
      <c r="C30" s="16"/>
      <c r="D30" s="17" t="s">
        <v>179</v>
      </c>
      <c r="E30" s="18"/>
      <c r="F30" s="18"/>
    </row>
    <row r="31" spans="1:9" x14ac:dyDescent="0.35">
      <c r="A31" t="s">
        <v>161</v>
      </c>
      <c r="E31" s="19" t="s">
        <v>111</v>
      </c>
      <c r="F31" s="19" t="s">
        <v>112</v>
      </c>
    </row>
    <row r="32" spans="1:9" x14ac:dyDescent="0.35">
      <c r="B32" t="s">
        <v>173</v>
      </c>
      <c r="C32" t="s">
        <v>174</v>
      </c>
      <c r="E32" s="20">
        <f>+SUM(F34:F36)-E33</f>
        <v>1980</v>
      </c>
      <c r="F32" s="20"/>
      <c r="H32" s="33" t="s">
        <v>175</v>
      </c>
    </row>
    <row r="33" spans="1:8" x14ac:dyDescent="0.35">
      <c r="B33">
        <v>419100</v>
      </c>
      <c r="C33" t="s">
        <v>166</v>
      </c>
      <c r="D33" s="32"/>
      <c r="E33" s="20">
        <v>660</v>
      </c>
      <c r="F33" s="22"/>
      <c r="H33" s="33" t="s">
        <v>176</v>
      </c>
    </row>
    <row r="34" spans="1:8" x14ac:dyDescent="0.35">
      <c r="C34">
        <v>706500</v>
      </c>
      <c r="D34" s="32" t="s">
        <v>170</v>
      </c>
      <c r="E34" s="20"/>
      <c r="F34" s="20">
        <v>2200</v>
      </c>
    </row>
    <row r="35" spans="1:8" x14ac:dyDescent="0.35">
      <c r="C35" s="1">
        <v>445800</v>
      </c>
      <c r="D35" s="1" t="s">
        <v>167</v>
      </c>
      <c r="E35" s="40"/>
      <c r="F35" s="40">
        <v>110</v>
      </c>
    </row>
    <row r="36" spans="1:8" x14ac:dyDescent="0.35">
      <c r="C36" s="1">
        <v>445800</v>
      </c>
      <c r="D36" s="1" t="s">
        <v>167</v>
      </c>
      <c r="E36" s="40"/>
      <c r="F36" s="40">
        <f>440-110</f>
        <v>330</v>
      </c>
      <c r="G36" t="s">
        <v>171</v>
      </c>
      <c r="H36" t="s">
        <v>178</v>
      </c>
    </row>
    <row r="37" spans="1:8" x14ac:dyDescent="0.35">
      <c r="A37" t="s">
        <v>172</v>
      </c>
    </row>
    <row r="40" spans="1:8" x14ac:dyDescent="0.35">
      <c r="A40" s="16"/>
      <c r="B40" s="16"/>
      <c r="C40" s="16"/>
      <c r="D40" s="17" t="s">
        <v>181</v>
      </c>
      <c r="E40" s="18"/>
      <c r="F40" s="18"/>
    </row>
    <row r="41" spans="1:8" x14ac:dyDescent="0.35">
      <c r="A41" t="s">
        <v>180</v>
      </c>
      <c r="E41" s="19" t="s">
        <v>111</v>
      </c>
      <c r="F41" s="19" t="s">
        <v>112</v>
      </c>
    </row>
    <row r="42" spans="1:8" x14ac:dyDescent="0.35">
      <c r="C42" t="s">
        <v>173</v>
      </c>
      <c r="D42" t="s">
        <v>174</v>
      </c>
      <c r="E42" s="20"/>
      <c r="F42" s="20">
        <f>E32</f>
        <v>1980</v>
      </c>
    </row>
    <row r="43" spans="1:8" x14ac:dyDescent="0.35">
      <c r="B43">
        <v>512000</v>
      </c>
      <c r="C43" t="s">
        <v>165</v>
      </c>
      <c r="D43" s="32"/>
      <c r="E43" s="20">
        <f>F42</f>
        <v>1980</v>
      </c>
      <c r="F43" s="22"/>
      <c r="H43" t="s">
        <v>182</v>
      </c>
    </row>
    <row r="44" spans="1:8" x14ac:dyDescent="0.35">
      <c r="B44" s="1">
        <v>445800</v>
      </c>
      <c r="C44" s="1" t="s">
        <v>167</v>
      </c>
      <c r="D44" s="41"/>
      <c r="E44" s="40">
        <f>F36</f>
        <v>330</v>
      </c>
      <c r="F44" s="40"/>
      <c r="H44" t="s">
        <v>252</v>
      </c>
    </row>
    <row r="45" spans="1:8" x14ac:dyDescent="0.35">
      <c r="B45" s="1"/>
      <c r="C45" s="1"/>
      <c r="D45" s="1">
        <v>445712</v>
      </c>
      <c r="E45" s="40" t="s">
        <v>183</v>
      </c>
      <c r="F45" s="40">
        <f>E44</f>
        <v>330</v>
      </c>
    </row>
    <row r="46" spans="1:8" x14ac:dyDescent="0.35">
      <c r="A46" t="s">
        <v>186</v>
      </c>
      <c r="E46" s="20"/>
      <c r="F46" s="20"/>
    </row>
    <row r="48" spans="1:8" x14ac:dyDescent="0.35">
      <c r="A48" s="16"/>
      <c r="B48" s="16"/>
      <c r="C48" s="16"/>
      <c r="D48" s="17" t="s">
        <v>184</v>
      </c>
      <c r="E48" s="18"/>
      <c r="F48" s="18"/>
    </row>
    <row r="49" spans="1:6" x14ac:dyDescent="0.35">
      <c r="A49" t="s">
        <v>180</v>
      </c>
      <c r="E49" s="19" t="s">
        <v>111</v>
      </c>
      <c r="F49" s="19" t="s">
        <v>112</v>
      </c>
    </row>
    <row r="50" spans="1:6" x14ac:dyDescent="0.35">
      <c r="B50" t="s">
        <v>149</v>
      </c>
      <c r="C50" t="s">
        <v>150</v>
      </c>
      <c r="E50" s="20">
        <v>442.21800000000002</v>
      </c>
      <c r="F50" s="20"/>
    </row>
    <row r="51" spans="1:6" x14ac:dyDescent="0.35">
      <c r="C51">
        <v>512000</v>
      </c>
      <c r="D51" t="s">
        <v>165</v>
      </c>
      <c r="E51" s="21"/>
      <c r="F51" s="22">
        <f>+E50</f>
        <v>442.21800000000002</v>
      </c>
    </row>
    <row r="52" spans="1:6" x14ac:dyDescent="0.35">
      <c r="A52" t="s">
        <v>185</v>
      </c>
      <c r="E52" s="20"/>
      <c r="F52" s="20"/>
    </row>
    <row r="53" spans="1:6" x14ac:dyDescent="0.35">
      <c r="E53" s="20"/>
      <c r="F53" s="20"/>
    </row>
    <row r="54" spans="1:6" x14ac:dyDescent="0.35">
      <c r="F54" s="28"/>
    </row>
    <row r="55" spans="1:6" x14ac:dyDescent="0.35">
      <c r="A55" s="1" t="s">
        <v>188</v>
      </c>
    </row>
    <row r="58" spans="1:6" x14ac:dyDescent="0.35">
      <c r="A58" t="s">
        <v>189</v>
      </c>
    </row>
    <row r="59" spans="1:6" x14ac:dyDescent="0.35">
      <c r="A59" t="s">
        <v>190</v>
      </c>
    </row>
    <row r="60" spans="1:6" x14ac:dyDescent="0.35">
      <c r="A60" t="s">
        <v>191</v>
      </c>
    </row>
    <row r="61" spans="1:6" x14ac:dyDescent="0.35">
      <c r="A61" t="s">
        <v>192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5"/>
  <sheetViews>
    <sheetView tabSelected="1" topLeftCell="A90" workbookViewId="0">
      <selection activeCell="B50" sqref="B50"/>
    </sheetView>
  </sheetViews>
  <sheetFormatPr baseColWidth="10" defaultRowHeight="14.5" x14ac:dyDescent="0.35"/>
  <cols>
    <col min="5" max="5" width="11.6328125" customWidth="1"/>
    <col min="6" max="6" width="12.81640625" bestFit="1" customWidth="1"/>
  </cols>
  <sheetData>
    <row r="1" spans="1:11" x14ac:dyDescent="0.35">
      <c r="A1" s="1" t="s">
        <v>91</v>
      </c>
    </row>
    <row r="2" spans="1:11" x14ac:dyDescent="0.35">
      <c r="A2" s="1"/>
    </row>
    <row r="3" spans="1:11" x14ac:dyDescent="0.35">
      <c r="A3" s="1" t="s">
        <v>242</v>
      </c>
      <c r="E3" t="s">
        <v>241</v>
      </c>
    </row>
    <row r="4" spans="1:11" x14ac:dyDescent="0.35">
      <c r="A4" s="1"/>
    </row>
    <row r="6" spans="1:11" x14ac:dyDescent="0.35">
      <c r="A6" s="14" t="s">
        <v>96</v>
      </c>
      <c r="C6" t="s">
        <v>97</v>
      </c>
      <c r="F6" t="s">
        <v>98</v>
      </c>
      <c r="H6" t="s">
        <v>99</v>
      </c>
    </row>
    <row r="7" spans="1:11" x14ac:dyDescent="0.35">
      <c r="K7" s="33" t="s">
        <v>210</v>
      </c>
    </row>
    <row r="8" spans="1:11" x14ac:dyDescent="0.35">
      <c r="C8" t="s">
        <v>100</v>
      </c>
      <c r="E8" s="15">
        <f>2690/5/12</f>
        <v>44.833333333333336</v>
      </c>
      <c r="F8" t="s">
        <v>243</v>
      </c>
      <c r="K8" s="33" t="s">
        <v>209</v>
      </c>
    </row>
    <row r="9" spans="1:11" x14ac:dyDescent="0.35">
      <c r="E9" s="13"/>
    </row>
    <row r="10" spans="1:11" x14ac:dyDescent="0.35">
      <c r="A10" s="14" t="s">
        <v>101</v>
      </c>
      <c r="C10" t="s">
        <v>102</v>
      </c>
      <c r="F10" t="s">
        <v>103</v>
      </c>
      <c r="H10" t="s">
        <v>99</v>
      </c>
    </row>
    <row r="12" spans="1:11" x14ac:dyDescent="0.35">
      <c r="C12" t="s">
        <v>104</v>
      </c>
      <c r="E12" s="15">
        <f>989.6/3/12</f>
        <v>27.488888888888891</v>
      </c>
    </row>
    <row r="13" spans="1:11" x14ac:dyDescent="0.35">
      <c r="E13" s="13"/>
    </row>
    <row r="14" spans="1:11" x14ac:dyDescent="0.35">
      <c r="A14" s="1" t="s">
        <v>92</v>
      </c>
    </row>
    <row r="15" spans="1:11" x14ac:dyDescent="0.35">
      <c r="A15" s="39" t="s">
        <v>225</v>
      </c>
      <c r="K15" s="38"/>
    </row>
    <row r="16" spans="1:11" x14ac:dyDescent="0.35">
      <c r="A16" s="17" t="s">
        <v>226</v>
      </c>
      <c r="K16" s="38"/>
    </row>
    <row r="17" spans="1:13" x14ac:dyDescent="0.35">
      <c r="A17" s="1"/>
      <c r="K17" s="38"/>
    </row>
    <row r="18" spans="1:13" x14ac:dyDescent="0.35">
      <c r="A18" t="s">
        <v>105</v>
      </c>
      <c r="C18" t="s">
        <v>106</v>
      </c>
      <c r="I18" s="33"/>
      <c r="K18" s="17"/>
    </row>
    <row r="19" spans="1:13" x14ac:dyDescent="0.35">
      <c r="C19" t="s">
        <v>107</v>
      </c>
      <c r="E19" s="15">
        <f>1200/1.2*0.6</f>
        <v>600</v>
      </c>
      <c r="I19" s="37" t="s">
        <v>227</v>
      </c>
    </row>
    <row r="20" spans="1:13" x14ac:dyDescent="0.35">
      <c r="I20" s="37" t="s">
        <v>228</v>
      </c>
    </row>
    <row r="21" spans="1:13" x14ac:dyDescent="0.35">
      <c r="A21" t="s">
        <v>108</v>
      </c>
      <c r="C21" t="s">
        <v>109</v>
      </c>
      <c r="I21" s="37" t="s">
        <v>229</v>
      </c>
    </row>
    <row r="22" spans="1:13" x14ac:dyDescent="0.35">
      <c r="I22" s="37" t="s">
        <v>230</v>
      </c>
    </row>
    <row r="23" spans="1:13" x14ac:dyDescent="0.35">
      <c r="A23" t="s">
        <v>234</v>
      </c>
      <c r="I23" s="37" t="s">
        <v>231</v>
      </c>
    </row>
    <row r="24" spans="1:13" x14ac:dyDescent="0.35">
      <c r="A24" t="s">
        <v>235</v>
      </c>
      <c r="I24" s="37" t="s">
        <v>232</v>
      </c>
    </row>
    <row r="25" spans="1:13" ht="15.5" customHeight="1" x14ac:dyDescent="0.35">
      <c r="A25" s="16"/>
      <c r="B25" s="16"/>
      <c r="C25" s="16"/>
      <c r="D25" s="17" t="s">
        <v>116</v>
      </c>
      <c r="E25" s="18"/>
      <c r="F25" s="18"/>
      <c r="I25" s="37" t="s">
        <v>233</v>
      </c>
    </row>
    <row r="26" spans="1:13" x14ac:dyDescent="0.35">
      <c r="A26" t="s">
        <v>110</v>
      </c>
      <c r="E26" s="19" t="s">
        <v>111</v>
      </c>
      <c r="F26" s="19" t="s">
        <v>112</v>
      </c>
      <c r="I26" s="37"/>
    </row>
    <row r="27" spans="1:13" x14ac:dyDescent="0.35">
      <c r="E27" s="20"/>
      <c r="F27" s="20"/>
      <c r="I27" s="37"/>
    </row>
    <row r="28" spans="1:13" x14ac:dyDescent="0.35">
      <c r="A28">
        <v>416</v>
      </c>
      <c r="B28" t="s">
        <v>113</v>
      </c>
      <c r="E28" s="21">
        <v>1200</v>
      </c>
      <c r="F28" s="22"/>
      <c r="H28" s="1"/>
      <c r="I28" s="37"/>
      <c r="M28" s="37" t="s">
        <v>223</v>
      </c>
    </row>
    <row r="29" spans="1:13" x14ac:dyDescent="0.35">
      <c r="B29" t="s">
        <v>117</v>
      </c>
      <c r="C29" t="s">
        <v>105</v>
      </c>
      <c r="E29" s="20"/>
      <c r="F29" s="20">
        <f>+E28</f>
        <v>1200</v>
      </c>
      <c r="H29" s="1"/>
    </row>
    <row r="30" spans="1:13" x14ac:dyDescent="0.35">
      <c r="A30" t="s">
        <v>120</v>
      </c>
      <c r="E30" s="20"/>
      <c r="F30" s="20"/>
    </row>
    <row r="32" spans="1:13" x14ac:dyDescent="0.35">
      <c r="A32" t="s">
        <v>118</v>
      </c>
    </row>
    <row r="33" spans="1:13" x14ac:dyDescent="0.35">
      <c r="I33" s="33" t="s">
        <v>211</v>
      </c>
    </row>
    <row r="34" spans="1:13" x14ac:dyDescent="0.35">
      <c r="A34" s="16"/>
      <c r="B34" s="16"/>
      <c r="C34" s="16"/>
      <c r="D34" s="17" t="s">
        <v>116</v>
      </c>
      <c r="E34" s="18"/>
      <c r="F34" s="18"/>
      <c r="I34" s="33" t="s">
        <v>209</v>
      </c>
    </row>
    <row r="35" spans="1:13" x14ac:dyDescent="0.35">
      <c r="A35" t="s">
        <v>110</v>
      </c>
      <c r="E35" s="19" t="s">
        <v>111</v>
      </c>
      <c r="F35" s="19" t="s">
        <v>112</v>
      </c>
    </row>
    <row r="36" spans="1:13" x14ac:dyDescent="0.35">
      <c r="E36" s="20"/>
      <c r="F36" s="20"/>
    </row>
    <row r="37" spans="1:13" x14ac:dyDescent="0.35">
      <c r="A37" t="s">
        <v>114</v>
      </c>
      <c r="E37" s="21">
        <f>+E19</f>
        <v>600</v>
      </c>
      <c r="F37" s="22"/>
      <c r="H37" s="1"/>
    </row>
    <row r="38" spans="1:13" x14ac:dyDescent="0.35">
      <c r="B38" t="s">
        <v>115</v>
      </c>
      <c r="E38" s="20"/>
      <c r="F38" s="20">
        <f>+E37</f>
        <v>600</v>
      </c>
    </row>
    <row r="39" spans="1:13" x14ac:dyDescent="0.35">
      <c r="A39" t="s">
        <v>119</v>
      </c>
      <c r="E39" s="20"/>
      <c r="F39" s="20"/>
    </row>
    <row r="41" spans="1:13" x14ac:dyDescent="0.35">
      <c r="A41" t="s">
        <v>240</v>
      </c>
    </row>
    <row r="42" spans="1:13" x14ac:dyDescent="0.35">
      <c r="A42" s="16"/>
      <c r="B42" s="16"/>
      <c r="C42" s="16"/>
      <c r="D42" s="17" t="s">
        <v>116</v>
      </c>
      <c r="E42" s="18"/>
      <c r="F42" s="18"/>
    </row>
    <row r="43" spans="1:13" x14ac:dyDescent="0.35">
      <c r="A43" t="s">
        <v>110</v>
      </c>
      <c r="E43" s="23" t="s">
        <v>111</v>
      </c>
      <c r="F43" s="19" t="s">
        <v>112</v>
      </c>
      <c r="I43" s="37" t="s">
        <v>236</v>
      </c>
    </row>
    <row r="44" spans="1:13" x14ac:dyDescent="0.35">
      <c r="D44" s="20"/>
      <c r="E44" s="20"/>
      <c r="F44" s="20"/>
      <c r="I44" s="37" t="s">
        <v>237</v>
      </c>
    </row>
    <row r="45" spans="1:13" x14ac:dyDescent="0.35">
      <c r="A45">
        <v>654000</v>
      </c>
      <c r="B45" t="s">
        <v>121</v>
      </c>
      <c r="C45" s="24"/>
      <c r="E45" s="25">
        <f>212/1.2</f>
        <v>176.66666666666669</v>
      </c>
      <c r="F45" s="22"/>
      <c r="I45" s="37" t="s">
        <v>238</v>
      </c>
    </row>
    <row r="46" spans="1:13" x14ac:dyDescent="0.35">
      <c r="A46">
        <v>445800</v>
      </c>
      <c r="B46" t="s">
        <v>167</v>
      </c>
      <c r="E46" s="26">
        <f>E45*0.2</f>
        <v>35.333333333333336</v>
      </c>
      <c r="F46" s="22"/>
      <c r="I46" s="37" t="s">
        <v>239</v>
      </c>
    </row>
    <row r="47" spans="1:13" x14ac:dyDescent="0.35">
      <c r="B47" t="s">
        <v>123</v>
      </c>
      <c r="C47" t="s">
        <v>124</v>
      </c>
      <c r="E47" s="26"/>
      <c r="F47" s="22">
        <v>212</v>
      </c>
      <c r="M47" s="37" t="s">
        <v>223</v>
      </c>
    </row>
    <row r="48" spans="1:13" x14ac:dyDescent="0.35">
      <c r="A48" t="s">
        <v>122</v>
      </c>
    </row>
    <row r="50" spans="1:14" x14ac:dyDescent="0.35">
      <c r="A50" t="s">
        <v>126</v>
      </c>
    </row>
    <row r="51" spans="1:14" x14ac:dyDescent="0.35">
      <c r="A51" t="s">
        <v>125</v>
      </c>
    </row>
    <row r="54" spans="1:14" x14ac:dyDescent="0.35">
      <c r="A54" s="1" t="s">
        <v>93</v>
      </c>
    </row>
    <row r="56" spans="1:14" x14ac:dyDescent="0.35">
      <c r="A56" t="s">
        <v>127</v>
      </c>
      <c r="N56" s="33" t="s">
        <v>212</v>
      </c>
    </row>
    <row r="57" spans="1:14" x14ac:dyDescent="0.35">
      <c r="A57" t="s">
        <v>128</v>
      </c>
      <c r="N57" s="33" t="s">
        <v>209</v>
      </c>
    </row>
    <row r="58" spans="1:14" x14ac:dyDescent="0.35">
      <c r="E58" t="s">
        <v>129</v>
      </c>
      <c r="H58" s="1" t="s">
        <v>130</v>
      </c>
    </row>
    <row r="60" spans="1:14" x14ac:dyDescent="0.35">
      <c r="A60" s="1" t="s">
        <v>94</v>
      </c>
    </row>
    <row r="61" spans="1:14" x14ac:dyDescent="0.35">
      <c r="A61" s="1"/>
    </row>
    <row r="62" spans="1:14" x14ac:dyDescent="0.35">
      <c r="A62" t="s">
        <v>224</v>
      </c>
    </row>
    <row r="64" spans="1:14" x14ac:dyDescent="0.35">
      <c r="A64" t="s">
        <v>131</v>
      </c>
    </row>
    <row r="66" spans="1:16" x14ac:dyDescent="0.35">
      <c r="A66" t="s">
        <v>132</v>
      </c>
    </row>
    <row r="68" spans="1:16" x14ac:dyDescent="0.35">
      <c r="A68" s="1"/>
    </row>
    <row r="69" spans="1:16" x14ac:dyDescent="0.35">
      <c r="A69" s="16"/>
      <c r="B69" s="16"/>
      <c r="C69" s="16"/>
      <c r="D69" s="17" t="s">
        <v>116</v>
      </c>
      <c r="E69" s="18"/>
      <c r="F69" s="18"/>
    </row>
    <row r="70" spans="1:16" x14ac:dyDescent="0.35">
      <c r="A70" t="s">
        <v>110</v>
      </c>
      <c r="E70" s="23" t="s">
        <v>111</v>
      </c>
      <c r="F70" s="19" t="s">
        <v>112</v>
      </c>
      <c r="I70" s="33" t="s">
        <v>212</v>
      </c>
    </row>
    <row r="71" spans="1:16" x14ac:dyDescent="0.35">
      <c r="A71">
        <v>486000</v>
      </c>
      <c r="B71" t="s">
        <v>133</v>
      </c>
      <c r="C71" s="24"/>
      <c r="D71" s="24"/>
      <c r="E71" s="22">
        <v>150</v>
      </c>
      <c r="F71" s="20"/>
      <c r="I71" s="33" t="s">
        <v>209</v>
      </c>
    </row>
    <row r="72" spans="1:16" x14ac:dyDescent="0.35">
      <c r="B72">
        <v>623</v>
      </c>
      <c r="C72" t="s">
        <v>134</v>
      </c>
      <c r="E72" s="27"/>
      <c r="F72" s="22">
        <v>150</v>
      </c>
    </row>
    <row r="73" spans="1:16" x14ac:dyDescent="0.35">
      <c r="A73" t="s">
        <v>135</v>
      </c>
      <c r="E73" s="22"/>
      <c r="F73" s="22"/>
      <c r="I73" s="37" t="s">
        <v>218</v>
      </c>
    </row>
    <row r="74" spans="1:16" x14ac:dyDescent="0.35">
      <c r="I74" s="37" t="s">
        <v>219</v>
      </c>
    </row>
    <row r="75" spans="1:16" x14ac:dyDescent="0.35">
      <c r="I75" s="37" t="s">
        <v>220</v>
      </c>
    </row>
    <row r="76" spans="1:16" x14ac:dyDescent="0.35">
      <c r="I76" s="37" t="s">
        <v>221</v>
      </c>
    </row>
    <row r="77" spans="1:16" x14ac:dyDescent="0.35">
      <c r="A77" s="1" t="s">
        <v>95</v>
      </c>
      <c r="I77" s="37" t="s">
        <v>222</v>
      </c>
      <c r="P77" s="37" t="s">
        <v>223</v>
      </c>
    </row>
    <row r="78" spans="1:16" x14ac:dyDescent="0.35">
      <c r="A78" s="39" t="s">
        <v>225</v>
      </c>
      <c r="I78" s="37"/>
    </row>
    <row r="79" spans="1:16" x14ac:dyDescent="0.35">
      <c r="A79" s="17" t="s">
        <v>226</v>
      </c>
      <c r="I79" s="37"/>
    </row>
    <row r="80" spans="1:16" x14ac:dyDescent="0.35">
      <c r="I80" s="37"/>
      <c r="P80" s="37"/>
    </row>
    <row r="81" spans="1:8" x14ac:dyDescent="0.35">
      <c r="A81" s="16"/>
      <c r="B81" s="16"/>
      <c r="C81" s="16"/>
      <c r="D81" s="17" t="s">
        <v>116</v>
      </c>
      <c r="E81" s="18"/>
      <c r="F81" s="18"/>
    </row>
    <row r="82" spans="1:8" x14ac:dyDescent="0.35">
      <c r="A82" t="s">
        <v>110</v>
      </c>
      <c r="E82" s="23" t="s">
        <v>111</v>
      </c>
      <c r="F82" s="19" t="s">
        <v>112</v>
      </c>
    </row>
    <row r="83" spans="1:8" x14ac:dyDescent="0.35">
      <c r="A83">
        <v>47600</v>
      </c>
      <c r="B83" t="s">
        <v>136</v>
      </c>
      <c r="C83" s="24"/>
      <c r="D83" s="24"/>
      <c r="E83" s="22">
        <v>177.52</v>
      </c>
      <c r="F83" s="20"/>
      <c r="H83" t="s">
        <v>244</v>
      </c>
    </row>
    <row r="84" spans="1:8" x14ac:dyDescent="0.35">
      <c r="B84" t="s">
        <v>137</v>
      </c>
      <c r="C84" t="s">
        <v>138</v>
      </c>
      <c r="E84" s="27"/>
      <c r="F84" s="22">
        <v>177.52</v>
      </c>
      <c r="H84" t="s">
        <v>245</v>
      </c>
    </row>
    <row r="85" spans="1:8" x14ac:dyDescent="0.35">
      <c r="A85" t="s">
        <v>139</v>
      </c>
      <c r="E85" s="22"/>
      <c r="F85" s="22"/>
    </row>
    <row r="87" spans="1:8" x14ac:dyDescent="0.35">
      <c r="H87" s="33" t="s">
        <v>213</v>
      </c>
    </row>
    <row r="88" spans="1:8" x14ac:dyDescent="0.35">
      <c r="H88" s="33" t="s">
        <v>209</v>
      </c>
    </row>
    <row r="89" spans="1:8" x14ac:dyDescent="0.35">
      <c r="A89" s="16"/>
      <c r="B89" s="16"/>
      <c r="C89" s="16"/>
      <c r="D89" s="17" t="s">
        <v>116</v>
      </c>
      <c r="E89" s="18"/>
      <c r="F89" s="18"/>
    </row>
    <row r="90" spans="1:8" x14ac:dyDescent="0.35">
      <c r="A90" t="s">
        <v>110</v>
      </c>
      <c r="E90" s="23" t="s">
        <v>111</v>
      </c>
      <c r="F90" s="19" t="s">
        <v>112</v>
      </c>
    </row>
    <row r="91" spans="1:8" x14ac:dyDescent="0.35">
      <c r="A91">
        <v>681500</v>
      </c>
      <c r="B91" t="s">
        <v>140</v>
      </c>
      <c r="C91" s="24"/>
      <c r="D91" s="24"/>
      <c r="E91" s="22">
        <v>177.52</v>
      </c>
      <c r="F91" s="20"/>
      <c r="H91" t="s">
        <v>246</v>
      </c>
    </row>
    <row r="92" spans="1:8" x14ac:dyDescent="0.35">
      <c r="B92">
        <v>1515</v>
      </c>
      <c r="C92" t="s">
        <v>141</v>
      </c>
      <c r="E92" s="27"/>
      <c r="F92" s="22">
        <v>177.52</v>
      </c>
    </row>
    <row r="93" spans="1:8" x14ac:dyDescent="0.35">
      <c r="A93" t="s">
        <v>142</v>
      </c>
      <c r="E93" s="22"/>
      <c r="F93" s="22"/>
    </row>
    <row r="125" spans="6:6" x14ac:dyDescent="0.35">
      <c r="F125">
        <v>6815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8"/>
  <sheetViews>
    <sheetView topLeftCell="A39" zoomScale="77" workbookViewId="0">
      <selection activeCell="E8" sqref="E8"/>
    </sheetView>
  </sheetViews>
  <sheetFormatPr baseColWidth="10" defaultRowHeight="14.5" x14ac:dyDescent="0.35"/>
  <cols>
    <col min="2" max="2" width="40.90625" bestFit="1" customWidth="1"/>
    <col min="3" max="3" width="9.1796875" bestFit="1" customWidth="1"/>
    <col min="4" max="4" width="65.08984375" bestFit="1" customWidth="1"/>
    <col min="5" max="5" width="18.453125" customWidth="1"/>
  </cols>
  <sheetData>
    <row r="2" spans="1:7" x14ac:dyDescent="0.35">
      <c r="A2" s="11" t="s">
        <v>50</v>
      </c>
      <c r="E2" t="s">
        <v>255</v>
      </c>
    </row>
    <row r="3" spans="1:7" x14ac:dyDescent="0.35">
      <c r="E3" t="s">
        <v>254</v>
      </c>
    </row>
    <row r="4" spans="1:7" x14ac:dyDescent="0.35">
      <c r="B4" s="5" t="s">
        <v>0</v>
      </c>
      <c r="C4" s="5" t="s">
        <v>1</v>
      </c>
      <c r="D4" s="5" t="s">
        <v>2</v>
      </c>
    </row>
    <row r="5" spans="1:7" x14ac:dyDescent="0.35">
      <c r="B5" s="5" t="s">
        <v>253</v>
      </c>
      <c r="C5" s="7">
        <v>56123</v>
      </c>
      <c r="D5" s="5" t="s">
        <v>3</v>
      </c>
    </row>
    <row r="6" spans="1:7" x14ac:dyDescent="0.35">
      <c r="B6" s="5" t="s">
        <v>4</v>
      </c>
      <c r="C6" s="7">
        <v>95</v>
      </c>
      <c r="D6" s="5" t="s">
        <v>5</v>
      </c>
    </row>
    <row r="7" spans="1:7" x14ac:dyDescent="0.35">
      <c r="B7" s="5" t="s">
        <v>6</v>
      </c>
      <c r="C7" s="8">
        <v>177.52</v>
      </c>
      <c r="D7" s="5" t="s">
        <v>7</v>
      </c>
      <c r="G7" s="33" t="s">
        <v>216</v>
      </c>
    </row>
    <row r="8" spans="1:7" x14ac:dyDescent="0.35">
      <c r="B8" s="5" t="s">
        <v>10</v>
      </c>
      <c r="C8" s="8">
        <v>-177.52</v>
      </c>
      <c r="D8" s="5" t="s">
        <v>44</v>
      </c>
      <c r="G8" s="33" t="s">
        <v>214</v>
      </c>
    </row>
    <row r="9" spans="1:7" x14ac:dyDescent="0.35">
      <c r="B9" s="5" t="s">
        <v>9</v>
      </c>
      <c r="C9" s="7">
        <f>650</f>
        <v>650</v>
      </c>
      <c r="D9" s="5" t="s">
        <v>11</v>
      </c>
    </row>
    <row r="10" spans="1:7" x14ac:dyDescent="0.35">
      <c r="B10" s="5"/>
      <c r="C10" s="9"/>
      <c r="D10" s="5" t="s">
        <v>12</v>
      </c>
    </row>
    <row r="11" spans="1:7" x14ac:dyDescent="0.35">
      <c r="B11" s="5" t="s">
        <v>8</v>
      </c>
      <c r="C11" s="9">
        <f>+SUM(C5:C9)</f>
        <v>56868</v>
      </c>
      <c r="D11" s="5"/>
    </row>
    <row r="14" spans="1:7" x14ac:dyDescent="0.35">
      <c r="A14" s="11" t="s">
        <v>51</v>
      </c>
    </row>
    <row r="16" spans="1:7" ht="29" x14ac:dyDescent="0.35">
      <c r="B16" s="2" t="s">
        <v>13</v>
      </c>
      <c r="C16" s="2" t="s">
        <v>14</v>
      </c>
      <c r="D16" s="2" t="s">
        <v>15</v>
      </c>
      <c r="E16" s="2" t="s">
        <v>16</v>
      </c>
    </row>
    <row r="17" spans="1:8" ht="87" x14ac:dyDescent="0.35">
      <c r="B17" s="3" t="s">
        <v>17</v>
      </c>
      <c r="C17" s="4" t="s">
        <v>26</v>
      </c>
      <c r="D17" s="4" t="s">
        <v>18</v>
      </c>
      <c r="E17" s="4" t="s">
        <v>29</v>
      </c>
    </row>
    <row r="18" spans="1:8" ht="58" x14ac:dyDescent="0.35">
      <c r="B18" s="3" t="s">
        <v>19</v>
      </c>
      <c r="C18" s="4" t="s">
        <v>27</v>
      </c>
      <c r="D18" s="4" t="s">
        <v>30</v>
      </c>
      <c r="E18" s="4" t="s">
        <v>31</v>
      </c>
      <c r="H18" s="33" t="s">
        <v>217</v>
      </c>
    </row>
    <row r="19" spans="1:8" ht="43.5" x14ac:dyDescent="0.35">
      <c r="B19" s="3" t="s">
        <v>20</v>
      </c>
      <c r="C19" s="3" t="s">
        <v>28</v>
      </c>
      <c r="D19" s="4" t="s">
        <v>21</v>
      </c>
      <c r="E19" s="4" t="s">
        <v>21</v>
      </c>
      <c r="H19" s="33" t="s">
        <v>214</v>
      </c>
    </row>
    <row r="20" spans="1:8" ht="87" x14ac:dyDescent="0.35">
      <c r="B20" s="3" t="s">
        <v>22</v>
      </c>
      <c r="C20" s="3" t="s">
        <v>23</v>
      </c>
      <c r="D20" s="4" t="s">
        <v>24</v>
      </c>
      <c r="E20" s="4" t="s">
        <v>25</v>
      </c>
    </row>
    <row r="22" spans="1:8" x14ac:dyDescent="0.35">
      <c r="A22" s="11" t="s">
        <v>52</v>
      </c>
    </row>
    <row r="24" spans="1:8" ht="29" x14ac:dyDescent="0.35">
      <c r="B24" s="2" t="s">
        <v>32</v>
      </c>
      <c r="C24" s="2" t="s">
        <v>33</v>
      </c>
      <c r="D24" s="2" t="s">
        <v>34</v>
      </c>
    </row>
    <row r="25" spans="1:8" ht="43.5" x14ac:dyDescent="0.35">
      <c r="B25" s="4" t="s">
        <v>35</v>
      </c>
      <c r="C25" s="4" t="s">
        <v>36</v>
      </c>
      <c r="D25" s="4" t="s">
        <v>37</v>
      </c>
    </row>
    <row r="26" spans="1:8" ht="72.5" x14ac:dyDescent="0.35">
      <c r="B26" s="4" t="s">
        <v>20</v>
      </c>
      <c r="C26" s="4" t="s">
        <v>39</v>
      </c>
      <c r="D26" s="4" t="s">
        <v>49</v>
      </c>
    </row>
    <row r="27" spans="1:8" ht="29" x14ac:dyDescent="0.35">
      <c r="B27" s="4" t="s">
        <v>41</v>
      </c>
      <c r="C27" s="4" t="s">
        <v>42</v>
      </c>
      <c r="D27" s="4" t="s">
        <v>38</v>
      </c>
    </row>
    <row r="28" spans="1:8" x14ac:dyDescent="0.35">
      <c r="B28" s="4" t="s">
        <v>40</v>
      </c>
      <c r="C28" s="5"/>
      <c r="D28" s="6" t="s">
        <v>43</v>
      </c>
    </row>
    <row r="32" spans="1:8" x14ac:dyDescent="0.35">
      <c r="B32" s="1" t="s">
        <v>45</v>
      </c>
    </row>
    <row r="34" spans="2:5" x14ac:dyDescent="0.35">
      <c r="B34" s="1" t="s">
        <v>46</v>
      </c>
    </row>
    <row r="35" spans="2:5" x14ac:dyDescent="0.35">
      <c r="E35" s="33" t="s">
        <v>215</v>
      </c>
    </row>
    <row r="36" spans="2:5" x14ac:dyDescent="0.35">
      <c r="B36" s="1" t="s">
        <v>47</v>
      </c>
      <c r="E36" s="33" t="s">
        <v>214</v>
      </c>
    </row>
    <row r="38" spans="2:5" x14ac:dyDescent="0.35">
      <c r="B38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opLeftCell="A9" zoomScale="105" workbookViewId="0">
      <selection activeCell="A13" sqref="A13"/>
    </sheetView>
  </sheetViews>
  <sheetFormatPr baseColWidth="10" defaultRowHeight="14.5" x14ac:dyDescent="0.35"/>
  <cols>
    <col min="2" max="2" width="15.6328125" bestFit="1" customWidth="1"/>
    <col min="7" max="7" width="33.26953125" bestFit="1" customWidth="1"/>
    <col min="8" max="8" width="14.36328125" customWidth="1"/>
    <col min="9" max="9" width="48.36328125" bestFit="1" customWidth="1"/>
  </cols>
  <sheetData>
    <row r="1" spans="1:10" x14ac:dyDescent="0.35">
      <c r="A1" t="s">
        <v>194</v>
      </c>
    </row>
    <row r="3" spans="1:10" x14ac:dyDescent="0.35">
      <c r="A3" s="34" t="s">
        <v>199</v>
      </c>
      <c r="B3" s="34"/>
      <c r="C3" s="34"/>
      <c r="D3" s="34" t="s">
        <v>202</v>
      </c>
      <c r="E3" s="34"/>
      <c r="F3" s="34"/>
      <c r="G3" s="34"/>
      <c r="H3" s="34"/>
      <c r="I3" s="34"/>
      <c r="J3" s="34"/>
    </row>
    <row r="4" spans="1:10" ht="15" customHeight="1" x14ac:dyDescent="0.35">
      <c r="A4" s="34" t="s">
        <v>201</v>
      </c>
      <c r="B4" s="34"/>
      <c r="C4" s="34"/>
      <c r="D4" s="34"/>
      <c r="E4" s="34"/>
      <c r="F4" s="34"/>
      <c r="G4" s="34"/>
      <c r="H4" s="34"/>
      <c r="I4" s="34"/>
      <c r="J4" s="34"/>
    </row>
    <row r="5" spans="1:10" ht="15" customHeight="1" x14ac:dyDescent="0.35">
      <c r="A5" s="34" t="s">
        <v>200</v>
      </c>
      <c r="B5" s="34"/>
      <c r="C5" s="34"/>
      <c r="D5" s="34"/>
      <c r="E5" s="34"/>
      <c r="F5" s="34"/>
      <c r="G5" s="34"/>
      <c r="H5" s="34"/>
      <c r="I5" s="34"/>
      <c r="J5" s="34"/>
    </row>
    <row r="6" spans="1:10" x14ac:dyDescent="0.35">
      <c r="A6" s="34"/>
      <c r="B6" s="34"/>
      <c r="C6" s="34"/>
      <c r="D6" s="34"/>
      <c r="E6" s="34"/>
      <c r="F6" s="34"/>
      <c r="G6" s="34"/>
      <c r="H6" s="34"/>
      <c r="I6" s="34"/>
      <c r="J6" s="34"/>
    </row>
    <row r="7" spans="1:10" x14ac:dyDescent="0.35">
      <c r="A7" s="34" t="s">
        <v>195</v>
      </c>
      <c r="B7" s="34"/>
      <c r="C7" s="34"/>
      <c r="D7" s="34"/>
      <c r="E7" s="34"/>
      <c r="F7" s="34"/>
      <c r="G7" s="34"/>
      <c r="H7" s="34"/>
      <c r="I7" s="34"/>
      <c r="J7" s="34"/>
    </row>
    <row r="8" spans="1:10" x14ac:dyDescent="0.35">
      <c r="A8" s="34"/>
      <c r="B8" s="34"/>
      <c r="C8" s="34"/>
      <c r="D8" s="34"/>
      <c r="E8" s="34"/>
      <c r="F8" s="34"/>
      <c r="G8" s="34"/>
      <c r="H8" s="34"/>
      <c r="I8" s="34"/>
      <c r="J8" s="34"/>
    </row>
    <row r="9" spans="1:10" x14ac:dyDescent="0.35">
      <c r="A9" t="s">
        <v>204</v>
      </c>
      <c r="B9" s="34"/>
      <c r="C9" s="34"/>
      <c r="D9" s="34"/>
      <c r="E9" s="34"/>
      <c r="F9" s="34"/>
      <c r="G9" s="34"/>
      <c r="H9" s="34"/>
      <c r="I9" s="34"/>
      <c r="J9" s="34"/>
    </row>
    <row r="10" spans="1:10" x14ac:dyDescent="0.35">
      <c r="A10" s="34" t="s">
        <v>203</v>
      </c>
      <c r="B10" s="34"/>
      <c r="C10" s="34"/>
      <c r="D10" s="34"/>
      <c r="E10" s="34"/>
      <c r="F10" s="34"/>
      <c r="G10" s="34"/>
      <c r="H10" s="34"/>
      <c r="I10" s="34"/>
      <c r="J10" s="34"/>
    </row>
    <row r="11" spans="1:10" x14ac:dyDescent="0.35">
      <c r="A11" s="34"/>
      <c r="B11" s="34"/>
      <c r="C11" s="34"/>
      <c r="D11" s="34"/>
      <c r="E11" s="34"/>
      <c r="F11" s="34"/>
      <c r="G11" s="34"/>
      <c r="H11" s="34"/>
      <c r="I11" s="34"/>
      <c r="J11" s="34"/>
    </row>
    <row r="12" spans="1:10" x14ac:dyDescent="0.35">
      <c r="A12" s="34" t="s">
        <v>260</v>
      </c>
      <c r="B12" s="34"/>
      <c r="C12" s="34"/>
      <c r="D12" s="34"/>
      <c r="E12" s="34"/>
      <c r="F12" s="34"/>
      <c r="G12" s="34"/>
      <c r="H12" s="34"/>
      <c r="I12" s="34"/>
      <c r="J12" s="34"/>
    </row>
    <row r="13" spans="1:10" x14ac:dyDescent="0.35">
      <c r="A13" s="34" t="s">
        <v>205</v>
      </c>
      <c r="B13" s="34"/>
      <c r="C13" s="34"/>
      <c r="D13" s="34"/>
      <c r="E13" s="34"/>
      <c r="F13" s="34"/>
      <c r="G13" s="34"/>
      <c r="H13" s="34"/>
      <c r="I13" s="34"/>
      <c r="J13" s="34"/>
    </row>
    <row r="14" spans="1:10" x14ac:dyDescent="0.35">
      <c r="A14" s="34" t="s">
        <v>256</v>
      </c>
      <c r="B14" s="34"/>
      <c r="C14" s="34"/>
      <c r="D14" s="34"/>
      <c r="E14" s="34"/>
      <c r="F14" s="34"/>
      <c r="G14" s="34"/>
      <c r="H14" s="34"/>
      <c r="I14" s="34"/>
      <c r="J14" s="34"/>
    </row>
    <row r="15" spans="1:10" x14ac:dyDescent="0.35">
      <c r="A15" s="34" t="s">
        <v>257</v>
      </c>
      <c r="B15" s="34"/>
      <c r="C15" s="34"/>
      <c r="D15" s="34"/>
      <c r="E15" s="34"/>
      <c r="F15" s="34"/>
      <c r="G15" s="34"/>
      <c r="H15" s="34"/>
      <c r="I15" s="34"/>
      <c r="J15" s="34"/>
    </row>
    <row r="16" spans="1:10" x14ac:dyDescent="0.35">
      <c r="A16" s="34" t="s">
        <v>258</v>
      </c>
      <c r="B16" s="34"/>
      <c r="C16" s="34"/>
      <c r="D16" s="34"/>
      <c r="E16" s="34"/>
      <c r="F16" s="34"/>
      <c r="G16" s="34"/>
      <c r="H16" s="34"/>
      <c r="I16" s="34"/>
      <c r="J16" s="34"/>
    </row>
    <row r="17" spans="1:10" x14ac:dyDescent="0.35">
      <c r="A17" s="34" t="s">
        <v>259</v>
      </c>
      <c r="B17" s="34"/>
      <c r="C17" s="34"/>
      <c r="D17" s="34"/>
      <c r="E17" s="34"/>
      <c r="F17" s="34"/>
      <c r="G17" s="34"/>
      <c r="H17" s="34"/>
      <c r="I17" s="34"/>
      <c r="J17" s="34"/>
    </row>
    <row r="18" spans="1:10" x14ac:dyDescent="0.35">
      <c r="A18" s="34"/>
      <c r="B18" s="34"/>
      <c r="C18" s="34"/>
      <c r="D18" s="34"/>
      <c r="E18" s="34"/>
      <c r="F18" s="34"/>
      <c r="H18" s="34"/>
      <c r="I18" s="34"/>
      <c r="J18" s="34"/>
    </row>
    <row r="19" spans="1:10" x14ac:dyDescent="0.35">
      <c r="A19" s="34"/>
      <c r="B19" s="34"/>
      <c r="C19" s="34"/>
      <c r="D19" s="34"/>
      <c r="E19" s="34"/>
      <c r="F19" s="34"/>
      <c r="G19" s="35" t="s">
        <v>206</v>
      </c>
      <c r="H19" s="34"/>
      <c r="I19" s="34"/>
      <c r="J19" s="34"/>
    </row>
    <row r="20" spans="1:10" x14ac:dyDescent="0.35">
      <c r="A20" s="34" t="s">
        <v>196</v>
      </c>
      <c r="B20" s="34"/>
      <c r="C20" s="34"/>
      <c r="D20" s="34"/>
      <c r="E20" s="34"/>
      <c r="F20" s="34"/>
      <c r="G20" s="35" t="s">
        <v>208</v>
      </c>
      <c r="H20" s="34"/>
      <c r="I20" s="34"/>
      <c r="J20" s="34"/>
    </row>
    <row r="21" spans="1:10" x14ac:dyDescent="0.35">
      <c r="A21" s="34"/>
      <c r="B21" s="34"/>
      <c r="C21" s="34"/>
      <c r="D21" s="34"/>
      <c r="E21" s="34"/>
      <c r="F21" s="34"/>
      <c r="G21" s="36"/>
      <c r="H21" s="34"/>
      <c r="I21" s="34"/>
      <c r="J21" s="34"/>
    </row>
    <row r="22" spans="1:10" x14ac:dyDescent="0.35">
      <c r="A22" s="34" t="s">
        <v>197</v>
      </c>
      <c r="B22" s="34"/>
      <c r="C22" s="34"/>
      <c r="D22" s="34"/>
      <c r="E22" s="34"/>
      <c r="F22" s="34"/>
      <c r="G22" s="34"/>
      <c r="H22" s="34"/>
      <c r="I22" s="34"/>
      <c r="J22" s="34"/>
    </row>
    <row r="23" spans="1:10" x14ac:dyDescent="0.35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spans="1:10" ht="14.5" customHeight="1" x14ac:dyDescent="0.35">
      <c r="A24" s="34" t="s">
        <v>198</v>
      </c>
      <c r="B24" s="34"/>
      <c r="C24" s="34"/>
      <c r="D24" s="34"/>
      <c r="E24" s="34"/>
      <c r="F24" s="34"/>
      <c r="G24" s="34"/>
      <c r="H24" s="34"/>
      <c r="I24" s="34"/>
      <c r="J24" s="34"/>
    </row>
    <row r="25" spans="1:10" ht="14.5" customHeight="1" x14ac:dyDescent="0.35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 spans="1:10" x14ac:dyDescent="0.35">
      <c r="A26" s="11" t="s">
        <v>76</v>
      </c>
    </row>
    <row r="28" spans="1:10" x14ac:dyDescent="0.35">
      <c r="A28" t="s">
        <v>77</v>
      </c>
    </row>
    <row r="29" spans="1:10" x14ac:dyDescent="0.35">
      <c r="A29" t="s">
        <v>78</v>
      </c>
    </row>
    <row r="30" spans="1:10" x14ac:dyDescent="0.35">
      <c r="A30" t="s">
        <v>80</v>
      </c>
    </row>
    <row r="31" spans="1:10" x14ac:dyDescent="0.35">
      <c r="A31" t="s">
        <v>79</v>
      </c>
    </row>
    <row r="32" spans="1:10" x14ac:dyDescent="0.35">
      <c r="A32" t="s">
        <v>81</v>
      </c>
    </row>
    <row r="34" spans="1:10" x14ac:dyDescent="0.35">
      <c r="B34" t="s">
        <v>87</v>
      </c>
      <c r="C34" t="s">
        <v>90</v>
      </c>
    </row>
    <row r="35" spans="1:10" x14ac:dyDescent="0.35">
      <c r="A35" t="s">
        <v>82</v>
      </c>
      <c r="B35">
        <f>4*7</f>
        <v>28</v>
      </c>
      <c r="C35" t="s">
        <v>88</v>
      </c>
    </row>
    <row r="36" spans="1:10" s="1" customFormat="1" x14ac:dyDescent="0.35">
      <c r="A36" s="1" t="s">
        <v>83</v>
      </c>
      <c r="B36" s="1">
        <f>10+11+8+10+10</f>
        <v>49</v>
      </c>
      <c r="C36" s="1" t="s">
        <v>89</v>
      </c>
    </row>
    <row r="37" spans="1:10" x14ac:dyDescent="0.35">
      <c r="A37" t="s">
        <v>84</v>
      </c>
      <c r="B37">
        <f>8+7+10+7+7</f>
        <v>39</v>
      </c>
      <c r="C37" t="s">
        <v>88</v>
      </c>
    </row>
    <row r="38" spans="1:10" x14ac:dyDescent="0.35">
      <c r="A38" t="s">
        <v>85</v>
      </c>
      <c r="B38">
        <f>7+8+7+7+7</f>
        <v>36</v>
      </c>
      <c r="C38" t="s">
        <v>88</v>
      </c>
      <c r="G38" s="10"/>
    </row>
    <row r="39" spans="1:10" x14ac:dyDescent="0.35">
      <c r="A39" t="s">
        <v>86</v>
      </c>
      <c r="B39">
        <f>7+8+7+7+7</f>
        <v>36</v>
      </c>
      <c r="C39" t="s">
        <v>88</v>
      </c>
      <c r="H39" s="33" t="s">
        <v>207</v>
      </c>
    </row>
    <row r="40" spans="1:10" x14ac:dyDescent="0.35">
      <c r="H40" s="33" t="s">
        <v>208</v>
      </c>
    </row>
    <row r="41" spans="1:10" x14ac:dyDescent="0.35">
      <c r="A41" s="11" t="s">
        <v>193</v>
      </c>
    </row>
    <row r="43" spans="1:10" x14ac:dyDescent="0.35">
      <c r="A43" t="s">
        <v>53</v>
      </c>
    </row>
    <row r="44" spans="1:10" x14ac:dyDescent="0.35">
      <c r="G44" t="s">
        <v>62</v>
      </c>
    </row>
    <row r="45" spans="1:10" x14ac:dyDescent="0.35">
      <c r="A45" t="s">
        <v>68</v>
      </c>
    </row>
    <row r="46" spans="1:10" x14ac:dyDescent="0.35">
      <c r="A46" t="s">
        <v>74</v>
      </c>
      <c r="G46" s="12" t="s">
        <v>63</v>
      </c>
      <c r="H46" s="12">
        <v>2</v>
      </c>
      <c r="I46" s="5" t="s">
        <v>66</v>
      </c>
      <c r="J46" s="5">
        <v>100</v>
      </c>
    </row>
    <row r="47" spans="1:10" x14ac:dyDescent="0.35">
      <c r="A47" t="s">
        <v>69</v>
      </c>
      <c r="G47" s="12" t="s">
        <v>64</v>
      </c>
      <c r="H47" s="12">
        <v>26</v>
      </c>
      <c r="I47" s="5" t="s">
        <v>67</v>
      </c>
      <c r="J47" s="5">
        <v>5</v>
      </c>
    </row>
    <row r="48" spans="1:10" x14ac:dyDescent="0.35">
      <c r="G48" s="5" t="s">
        <v>65</v>
      </c>
      <c r="H48" s="5">
        <f>+IF(H46+H47&gt;30,(H46*J46+H47*J47)*2,H46*J46+H47*J47)</f>
        <v>330</v>
      </c>
      <c r="I48" s="5"/>
      <c r="J48" s="5"/>
    </row>
    <row r="49" spans="1:8" x14ac:dyDescent="0.35">
      <c r="A49" t="s">
        <v>70</v>
      </c>
    </row>
    <row r="50" spans="1:8" x14ac:dyDescent="0.35">
      <c r="A50" t="s">
        <v>54</v>
      </c>
      <c r="H50" t="s">
        <v>75</v>
      </c>
    </row>
    <row r="51" spans="1:8" x14ac:dyDescent="0.35">
      <c r="A51" t="s">
        <v>71</v>
      </c>
    </row>
    <row r="52" spans="1:8" x14ac:dyDescent="0.35">
      <c r="A52" t="s">
        <v>55</v>
      </c>
    </row>
    <row r="54" spans="1:8" x14ac:dyDescent="0.35">
      <c r="A54" t="s">
        <v>72</v>
      </c>
    </row>
    <row r="55" spans="1:8" x14ac:dyDescent="0.35">
      <c r="A55" t="s">
        <v>56</v>
      </c>
    </row>
    <row r="56" spans="1:8" x14ac:dyDescent="0.35">
      <c r="A56" t="s">
        <v>57</v>
      </c>
    </row>
    <row r="57" spans="1:8" x14ac:dyDescent="0.35">
      <c r="A57" t="s">
        <v>58</v>
      </c>
    </row>
    <row r="58" spans="1:8" x14ac:dyDescent="0.35">
      <c r="A58" t="s">
        <v>59</v>
      </c>
    </row>
    <row r="60" spans="1:8" x14ac:dyDescent="0.35">
      <c r="A60" t="s">
        <v>73</v>
      </c>
    </row>
    <row r="61" spans="1:8" x14ac:dyDescent="0.35">
      <c r="A61" t="s">
        <v>60</v>
      </c>
    </row>
    <row r="63" spans="1:8" x14ac:dyDescent="0.35">
      <c r="A6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Mission 1</vt:lpstr>
      <vt:lpstr>Mission 2</vt:lpstr>
      <vt:lpstr>Mission 3</vt:lpstr>
      <vt:lpstr>Mission 4</vt:lpstr>
    </vt:vector>
  </TitlesOfParts>
  <Company>U.B.O. - D.S.I.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munier</dc:creator>
  <cp:lastModifiedBy>munier</cp:lastModifiedBy>
  <dcterms:created xsi:type="dcterms:W3CDTF">2025-05-19T20:04:01Z</dcterms:created>
  <dcterms:modified xsi:type="dcterms:W3CDTF">2025-05-26T10:40:42Z</dcterms:modified>
</cp:coreProperties>
</file>