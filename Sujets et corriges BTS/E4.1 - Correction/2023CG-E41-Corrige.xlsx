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unier\OneDrive\Bureau\Site\BTS CG\Sujet BTS CG\"/>
    </mc:Choice>
  </mc:AlternateContent>
  <bookViews>
    <workbookView xWindow="0" yWindow="0" windowWidth="12860" windowHeight="3120"/>
  </bookViews>
  <sheets>
    <sheet name="Mission 1A" sheetId="1" r:id="rId1"/>
    <sheet name="Mission 1B" sheetId="2" r:id="rId2"/>
    <sheet name="Mission 2A" sheetId="3" r:id="rId3"/>
    <sheet name="Mission 2B" sheetId="4" r:id="rId4"/>
    <sheet name="Mission 3A" sheetId="6" r:id="rId5"/>
    <sheet name="Mission 3B" sheetId="7" r:id="rId6"/>
    <sheet name="Mission 4" sheetId="8" r:id="rId7"/>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0" i="1" l="1"/>
  <c r="E18" i="1" l="1"/>
  <c r="F20" i="1" s="1"/>
  <c r="F62" i="7" l="1"/>
  <c r="F64" i="7"/>
  <c r="G65" i="7" s="1"/>
  <c r="D43" i="8" l="1"/>
  <c r="G24" i="8"/>
  <c r="F47" i="7"/>
  <c r="G48" i="7" s="1"/>
  <c r="G46" i="7"/>
  <c r="F20" i="7"/>
  <c r="F47" i="6"/>
  <c r="E46" i="6"/>
  <c r="F44" i="6"/>
  <c r="F20" i="6"/>
  <c r="E19" i="6"/>
  <c r="F19" i="6"/>
  <c r="D33" i="4"/>
  <c r="C45" i="3"/>
  <c r="E37" i="3"/>
  <c r="E38" i="3" s="1"/>
  <c r="E36" i="3"/>
  <c r="E35" i="3"/>
  <c r="D31" i="3"/>
  <c r="D30" i="3"/>
  <c r="D29" i="3"/>
  <c r="I29" i="3" s="1"/>
  <c r="F24" i="3"/>
  <c r="E24" i="3"/>
  <c r="C23" i="3"/>
  <c r="D23" i="3" s="1"/>
  <c r="C22" i="3"/>
  <c r="D22" i="3" s="1"/>
  <c r="C21" i="3"/>
  <c r="D21" i="3" s="1"/>
  <c r="C20" i="3"/>
  <c r="D20" i="3" s="1"/>
  <c r="C19" i="3"/>
  <c r="D19" i="3" s="1"/>
  <c r="F52" i="1"/>
  <c r="F49" i="1"/>
  <c r="F51" i="1" s="1"/>
  <c r="F42" i="1"/>
  <c r="E40" i="1"/>
  <c r="F41" i="1" s="1"/>
  <c r="E29" i="1"/>
  <c r="F30" i="1" s="1"/>
  <c r="E6" i="1"/>
  <c r="F8" i="1" s="1"/>
  <c r="E5" i="1"/>
</calcChain>
</file>

<file path=xl/sharedStrings.xml><?xml version="1.0" encoding="utf-8"?>
<sst xmlns="http://schemas.openxmlformats.org/spreadsheetml/2006/main" count="280" uniqueCount="225">
  <si>
    <t>26.04.23</t>
  </si>
  <si>
    <t>AC</t>
  </si>
  <si>
    <t>TVA déductible ABS</t>
  </si>
  <si>
    <t>Filet de prtection</t>
  </si>
  <si>
    <t>Piquets de piste</t>
  </si>
  <si>
    <t>Frs MATOS</t>
  </si>
  <si>
    <t>Facture n°66545 MATOSKI</t>
  </si>
  <si>
    <t>27.04.23</t>
  </si>
  <si>
    <t>Publicité radio</t>
  </si>
  <si>
    <t>TVA en attente</t>
  </si>
  <si>
    <t>Facture n°5648 RADIO ALPES</t>
  </si>
  <si>
    <t>Frs RADIO</t>
  </si>
  <si>
    <t>28.04.23</t>
  </si>
  <si>
    <t>Equipement de travail</t>
  </si>
  <si>
    <t>TVA due intra.</t>
  </si>
  <si>
    <t>TVA déductible intra.</t>
  </si>
  <si>
    <t>Frs LAWIN</t>
  </si>
  <si>
    <t>Facture n°R287937 - LAWINE AIRBAG</t>
  </si>
  <si>
    <t>CA</t>
  </si>
  <si>
    <t>30.04.23</t>
  </si>
  <si>
    <t>Remontées 10%</t>
  </si>
  <si>
    <t>Remontées 20%</t>
  </si>
  <si>
    <t>TVA collectée 10%</t>
  </si>
  <si>
    <t>TVA collectée 20%</t>
  </si>
  <si>
    <t>Caisse - Espèces</t>
  </si>
  <si>
    <t>Banque - Chq</t>
  </si>
  <si>
    <t>Banque - CB</t>
  </si>
  <si>
    <t>Position de caisse n°30</t>
  </si>
  <si>
    <t>Ecrire la requête SQL permettant d'obtenir la somme des factures à régler pour lesquelles</t>
  </si>
  <si>
    <t>les fournisseurs accordent un escompte.</t>
  </si>
  <si>
    <t>Rédiger les formules permettant d'obtenir le montant de  l'escompte (G3) et le total des escomptes (G40)</t>
  </si>
  <si>
    <t xml:space="preserve">CELLULE G40 =SOMME(G3 :G39) </t>
  </si>
  <si>
    <t xml:space="preserve">Rappel: </t>
  </si>
  <si>
    <t>Les heures supplémentaires (effectuées de jour ou de nuit) sont décomptées par semaine civile. Du lundi 0 heure au dimanche 24 heures.</t>
  </si>
  <si>
    <t>Les 8 premières heures supplémentaires hebdomadaires sont majorées de 25% et les suivantes de 50%.</t>
  </si>
  <si>
    <t>Semaine 13</t>
  </si>
  <si>
    <t>Semaine 14</t>
  </si>
  <si>
    <t>Semaine 15</t>
  </si>
  <si>
    <t>Semaine 16</t>
  </si>
  <si>
    <t>Semaine 17</t>
  </si>
  <si>
    <t>Total heures</t>
  </si>
  <si>
    <t>HS</t>
  </si>
  <si>
    <t>Maj 25%</t>
  </si>
  <si>
    <t>Maj 50%</t>
  </si>
  <si>
    <t>Total</t>
  </si>
  <si>
    <t>Salaire de base</t>
  </si>
  <si>
    <t>Salaire de base :</t>
  </si>
  <si>
    <t>Avec un taux horaire = 2225/151,67</t>
  </si>
  <si>
    <t>Heures majorées 25%</t>
  </si>
  <si>
    <t>Heures majorées 50%</t>
  </si>
  <si>
    <t>14,67*1,25</t>
  </si>
  <si>
    <t>14,67*1,5</t>
  </si>
  <si>
    <t>Nombre d’heures</t>
  </si>
  <si>
    <t>Taux horaire</t>
  </si>
  <si>
    <t>HS 25%</t>
  </si>
  <si>
    <t>HS 50%</t>
  </si>
  <si>
    <t>Salaire brut</t>
  </si>
  <si>
    <t>Salaire prévisionnel :</t>
  </si>
  <si>
    <t>HS :</t>
  </si>
  <si>
    <t>Contingent annuel :</t>
  </si>
  <si>
    <t>De juin N-1 à mars N : 132 HS</t>
  </si>
  <si>
    <t>Avril : 31 HS</t>
  </si>
  <si>
    <t>Elle aura donc 13 heures réalisées au-delà du contingent.contrepartie obligatoire en repos.</t>
  </si>
  <si>
    <t>Contrôle du bulletin</t>
  </si>
  <si>
    <t>A vérifier :</t>
  </si>
  <si>
    <t>Base</t>
  </si>
  <si>
    <t xml:space="preserve">  =&gt; 35*52/12 = 151,67 (contrat de 35h)</t>
  </si>
  <si>
    <t>Taux</t>
  </si>
  <si>
    <t xml:space="preserve"> =&gt; 2 100 / 151,67 = 13,85</t>
  </si>
  <si>
    <t xml:space="preserve">Salaire </t>
  </si>
  <si>
    <t xml:space="preserve">Prime </t>
  </si>
  <si>
    <t xml:space="preserve"> =&gt; sujet (contrat de travail)</t>
  </si>
  <si>
    <t>Titres restaurant</t>
  </si>
  <si>
    <t xml:space="preserve"> =&gt; 9 € par jour travaillé et pris en charge à hauteur de 50% par l'employeur (sujet)</t>
  </si>
  <si>
    <t xml:space="preserve"> =&gt; exonération : ok</t>
  </si>
  <si>
    <t>Absence</t>
  </si>
  <si>
    <t xml:space="preserve"> =&gt; sujet : le contrat de travail précise que les absences sont calculées en application de la méthode de l’horaire réel</t>
  </si>
  <si>
    <t xml:space="preserve">Absence : </t>
  </si>
  <si>
    <t>5 jrs * 7 heures = 35 heures non travaillées</t>
  </si>
  <si>
    <t xml:space="preserve">Le nombre d’heures réelles à travailler en avril était de 22 * 7 = 154 heures. </t>
  </si>
  <si>
    <t>Donc = 2 100 * 35/154 = 477,27€</t>
  </si>
  <si>
    <t>Indemnité fin de contrat : 10% de la rémunération totale versée:</t>
  </si>
  <si>
    <t>Avril :</t>
  </si>
  <si>
    <t>Mars :</t>
  </si>
  <si>
    <t>2100 + 64,40 - 477,27 = 1 687,13 €</t>
  </si>
  <si>
    <t>2100 + 64,40 = 2 164,40 €</t>
  </si>
  <si>
    <t>(2164,4+1687,13)*10%</t>
  </si>
  <si>
    <t>Base de calcul : 2 164,40 + 1 687,13 + 385,15 = 4 236,68€</t>
  </si>
  <si>
    <t>Calcul : 4 236.68 * 10 % = 423 .67 €</t>
  </si>
  <si>
    <t>Indmnité CP :</t>
  </si>
  <si>
    <t>Salaire brut :</t>
  </si>
  <si>
    <t>ok (faire la somme)</t>
  </si>
  <si>
    <t xml:space="preserve">L’activation des frais externes de formation prévue par le règlement ANC 2019-09 du 18 décembre 2019 modifie le règlement ANC 2014-03 relatif aux frais de formation. Ce règlement a été homologué par l’arrêté du 22 avril 2020. </t>
  </si>
  <si>
    <t>L’immobilisation des frais de formation est possible pour les exercices clos à compter du 1er mai 2020.</t>
  </si>
  <si>
    <t>Fiscalement, les frais de formation ne peuvent être activés.</t>
  </si>
  <si>
    <t>Le rattachement au coût d’acquisition de l’immobilisation est une option comptable</t>
  </si>
  <si>
    <t>Important : l'entreprise a opté pour l'inscription en charge.</t>
  </si>
  <si>
    <t>Le stagiaire a comptabilisé les frais de formation dans le coût d’acquisition. Il convient de constater ces frais en charges et de corriger la tva correspondante.</t>
  </si>
  <si>
    <t>OD</t>
  </si>
  <si>
    <t>31.05.23</t>
  </si>
  <si>
    <t>(date de clôture)</t>
  </si>
  <si>
    <t>Formations</t>
  </si>
  <si>
    <t>Dameuse</t>
  </si>
  <si>
    <t>TVA sur ABS</t>
  </si>
  <si>
    <t>TVA sur immo</t>
  </si>
  <si>
    <t>Rectification - frais de formation</t>
  </si>
  <si>
    <t>La dameuse a été acquise le 11 avril 2023 et mise en service le 21 avril 2023 (date d'amortissement comptable. L’amortissement fiscal commence au 1er avril (1er jour du mois d’acquisition) pour l’amortissement dégressif.</t>
  </si>
  <si>
    <t>Amortissement comptable au 31/05/2023</t>
  </si>
  <si>
    <t>L’amortissement pratiqué est de 2 800€ il faut rectifier de 33,33€</t>
  </si>
  <si>
    <t>Du 21 avril au 31 mai = 40 jours. 249 000 /10 * 40/360 = 2 766,67€ (10 jours en avril en comptant le 21 avril et 30 en mai =&gt; PGI sur 30 jrs par mois)</t>
  </si>
  <si>
    <t>Amortissement dégressif au 31/05/2023</t>
  </si>
  <si>
    <t>Du 1er avril au 31 mai il y a 60 jours 249 000 *22,50% * 60/360 = 9337,50€</t>
  </si>
  <si>
    <t xml:space="preserve">Amortissement dérogatoire : pour la différence. </t>
  </si>
  <si>
    <t>9 337,50 – 2 766,67 = 6 570,83€</t>
  </si>
  <si>
    <t xml:space="preserve"> Il faut rectifier 79,17€ (6 650 -6 570,83)</t>
  </si>
  <si>
    <t>Amortissement dameuse</t>
  </si>
  <si>
    <t>681120 DAP</t>
  </si>
  <si>
    <t>DAP dérogatoire</t>
  </si>
  <si>
    <t>DAP</t>
  </si>
  <si>
    <t>Rectification - amortissements dameuse</t>
  </si>
  <si>
    <t>24.04.23</t>
  </si>
  <si>
    <t>BQ</t>
  </si>
  <si>
    <t>Emprunt</t>
  </si>
  <si>
    <t>Frais de dossier</t>
  </si>
  <si>
    <t>Banque</t>
  </si>
  <si>
    <t>Actionnaires - Capital souscrit non appelé</t>
  </si>
  <si>
    <t>Capital souscrit, non appelé</t>
  </si>
  <si>
    <t>Appel du capital non versé</t>
  </si>
  <si>
    <t>Actionnaires capital appelé non versé</t>
  </si>
  <si>
    <t>Capital souscrit appelé non versé</t>
  </si>
  <si>
    <t>L’énoncé mentionne également que l’entreprise ne peut pas prétendre au taux réduit de l’IS. Elle appliquera donc le taux normal de 25%.</t>
  </si>
  <si>
    <t>Résultat :3 127 956,70 – 3 073 456,43 = 54 500,27  = 54 500€</t>
  </si>
  <si>
    <t>La base taxable est  de 54 500 – 15 300 = 39 200€</t>
  </si>
  <si>
    <t>Calcul de l’IS pour l’exercice : 39 200 * 25% = 9 800€ d'IS</t>
  </si>
  <si>
    <t>IS</t>
  </si>
  <si>
    <t>Etat - IS</t>
  </si>
  <si>
    <t xml:space="preserve"> =&gt; on suppose les conditions vérifiées (intérêt de l'entreprise ; à caractère sportif)</t>
  </si>
  <si>
    <t xml:space="preserve"> =&gt; déductible fiscalement (mais pas de crédit d'impôt)</t>
  </si>
  <si>
    <t xml:space="preserve"> =&gt; IS = 80 000 *25% = </t>
  </si>
  <si>
    <t>Opération mécénat</t>
  </si>
  <si>
    <t>Opération sponsoring</t>
  </si>
  <si>
    <t>Le don ne doit pas excéder 20 000€ (15 000 € &lt; 20 000 =&gt; ok) ou 5 pour mille du chiffre d’affaires si ce montant est plus élevé (ici : 3 200 000 * 5/1000 = 16 000€).</t>
  </si>
  <si>
    <t>Fiscalement, il faut réintégrer au résultat fiscal le montant du don.</t>
  </si>
  <si>
    <t>Résultat fiscal : 80 000 + 15 000 = 95 000€</t>
  </si>
  <si>
    <t>L’IS  95 000 *25% = 23 750€</t>
  </si>
  <si>
    <t>La réduction d’impôt serait de 15 000 *60% = 9 000 €, soit un IS à payer de 23 750 – 9 000 = 14 750 €</t>
  </si>
  <si>
    <t>Au final : mécénat est plus intéressant financièrement (IS 14 750 € &lt; 20 000 €)</t>
  </si>
  <si>
    <t>matières, l’entreprise doit les ajouter au prix d’achat et les comptabiliser au débit du compte d’achat</t>
  </si>
  <si>
    <t>NB : Lorsque les frais peuvent être rattachés de manière certaine à une catégorie de marchandises, de</t>
  </si>
  <si>
    <t>Si vous avez des difficultés , vous avez le cours correspondant sur la page suivante : https://www.comprendre-la-compta-gestion.com/p1-contr%C3%B4le-et-traitement-comptable  ; dans le chapitre 9</t>
  </si>
  <si>
    <t>L'achat est une PS : déductibilité lors du paiement. D'où le compte d'attente de TVA</t>
  </si>
  <si>
    <t>On parle d’acquisitions intracommunautaires. Ces opérations sont soumises à la TVA française. Dans</t>
  </si>
  <si>
    <t>la mesure où le fournisseur européen ne facture pas la TVA, l’entreprise doit calculer et enregistrer</t>
  </si>
  <si>
    <t>deux TVA distinctes : une TVA à payer (4452. TVA due intracommunautaire) et une TVA déductible sur</t>
  </si>
  <si>
    <t>achats. On parle d’autoliquidation.</t>
  </si>
  <si>
    <t>concerné. (…) (suite du cours sur le site)</t>
  </si>
  <si>
    <t>(…) (suite du cours sur le site)</t>
  </si>
  <si>
    <t>Si vous avez des difficultés , vous avez le cours correspondant sur la page suivante : https://www.comprendre-la-compta-gestion.com/p1-contr%C3%B4le-et-traitement-comptable  ; dans le chapitre 6</t>
  </si>
  <si>
    <t>585000 ou</t>
  </si>
  <si>
    <t>586000 ou</t>
  </si>
  <si>
    <t>SELECT numfour, nomfour, tauxescompte, codereglt, numfac, datefac, netapayer, regltO/N, dateecheance</t>
  </si>
  <si>
    <t>FROM FOURNISSEUR, FACTURE, MODE-REGLT</t>
  </si>
  <si>
    <t>WHERE FOURNISSEUR.numfour = FACTURE.#numfour</t>
  </si>
  <si>
    <t>AND FOURNISSEUR.codereglt = MODE-REGLT#codereglt</t>
  </si>
  <si>
    <t>AND FACTURE.regltO/N = "Non"</t>
  </si>
  <si>
    <t>AND FOURNISSEUR.tauxescompte &gt; 0,00</t>
  </si>
  <si>
    <t>Si vous avez des difficultés , vous avez le cours correspondant sur la page suivante : https://www.comprendre-la-compta-gestion.com/p3   ; dans le chapitre 12</t>
  </si>
  <si>
    <t xml:space="preserve">Lorsque l'exercice se solde par un déficit fiscal, la société a la possibilité de réaliser un </t>
  </si>
  <si>
    <t>report du déficit sur les exercices suivants, c'est le régime de droit commun.</t>
  </si>
  <si>
    <t>L'imputation du déficit sur l'exercice suivant est plafonnée. Elle est limitée à 1 million € par an, majoré</t>
  </si>
  <si>
    <t>de 50 % de la fraction du bénéfice supérieure à ce plafond.</t>
  </si>
  <si>
    <t>Il est possible d'imputer la totalité du déficit restant.</t>
  </si>
  <si>
    <t>Certains dons permettent une réduction d’impôt. De ce fait, les dons ne sont en</t>
  </si>
  <si>
    <t>général pas déductibles et doivent faire l’objet d’une réintégration extra-</t>
  </si>
  <si>
    <t>comptable.</t>
  </si>
  <si>
    <t>Réduction d’impôt : la base de calcul de la réduction d'impôt sera plafonnée à</t>
  </si>
  <si>
    <t>20.000 € ou 5 pour mille du CAHT si ce dernier montant est plus élevé. Le</t>
  </si>
  <si>
    <t>taux de la réduction d'impôt est de 60% pour les versements n'excédant pas</t>
  </si>
  <si>
    <t>2 millions € et 40% au-delà. Si cette limite est dépassée au cours d’un exercice,</t>
  </si>
  <si>
    <t>l’excédent est reporté sur les 5 exercices suivants</t>
  </si>
  <si>
    <t>Si vous avez des difficultés , vous avez le cours correspondant sur la page suivante : https://www.comprendre-la-compta-gestion.com/p3   ; dans le chapitre 10</t>
  </si>
  <si>
    <t>Si vous avez des difficultés , vous avez le cours correspondant sur la page suivante : https://www.comprendre-la-compta-gestion.com/p1-contr%C3%B4le-et-traitement-comptable   ; dans le chapitre 10</t>
  </si>
  <si>
    <t>La somme déposée sur le compte banque de l’entreprise est diminuée des frais bancaires TTC.</t>
  </si>
  <si>
    <t>Afin de financer tout ou partie de leurs projets d’investissements, les entreprises se tournent souvent</t>
  </si>
  <si>
    <t>vers les établissements de crédit afin d’emprunter. L’emprunt est traité en 2 phases : l’encaissement</t>
  </si>
  <si>
    <t>du prêt bancaire d’une part, puis les remboursements qui sont échelonnés dans le temps (non demandé).</t>
  </si>
  <si>
    <t>Si vous avez des difficultés , vous avez le cours correspondant sur la page suivante : https://www.comprendre-la-compta-gestion.com/p2-contr%C3%B4le-et-production-de-l-info   ; dans le chapitre 3</t>
  </si>
  <si>
    <t>Pour les apports en numéraire :</t>
  </si>
  <si>
    <t>- La totalité de la prime d’émission (pour une SARL, le versement intégral n’est pas une</t>
  </si>
  <si>
    <t>obligation),</t>
  </si>
  <si>
    <t>- Le solde doit être libéré dans un délai de 5 ans à compter de l’augmentation de capital.</t>
  </si>
  <si>
    <t>Pour rappel, conditions de libération du capital :</t>
  </si>
  <si>
    <t xml:space="preserve"> - ¼ de la valeur nominale (valeur du titre selon les statuts) pour les SARL,EURL et 1/2 pour les SA/SAS</t>
  </si>
  <si>
    <t>Pour aller plus loin : suppose le versement du capital</t>
  </si>
  <si>
    <t>X.X.X</t>
  </si>
  <si>
    <t>Capital</t>
  </si>
  <si>
    <t>Versement des fonds</t>
  </si>
  <si>
    <t>Si vous avez des difficultés , vous avez le cours correspondant sur la page suivante : https://www.comprendre-la-compta-gestion.com/p2-contr%C3%B4le-et-production-de-l-info  ; dans le chapitre 8</t>
  </si>
  <si>
    <t>Règles:</t>
  </si>
  <si>
    <t>NB : nous avons trop amorti. Il suffit simplement</t>
  </si>
  <si>
    <t>de passer les écritures à l'envers pour le montant calculer.</t>
  </si>
  <si>
    <t>Si vous avez des difficultés , vous avez le cours correspondant sur la page suivante : https://www.comprendre-la-compta-gestion.com/p1-contr%C3%B4le-et-traitement-comptable ; dans le chapitre 10</t>
  </si>
  <si>
    <t>NB : le salaire brut intègre le salaire de base auquel s'ajoutent les heures supplémentaires, les primes et les avantages en nature…</t>
  </si>
  <si>
    <r>
      <t>NB : les heures supplémentaires peuvent être accomplies dans la limite d'un certain nombre d'heures effectuées par an</t>
    </r>
    <r>
      <rPr>
        <sz val="11"/>
        <color theme="1"/>
        <rFont val="Calibri"/>
        <family val="2"/>
        <scheme val="minor"/>
      </rPr>
      <t>. Cette limite d'heures est appelée contingent annuel.</t>
    </r>
  </si>
  <si>
    <t>D’après la convention collective, le contingent annuel est fixé à 150 heures sur la période du 1er juin au 31 mai (sujet).</t>
  </si>
  <si>
    <t>Elle pourra donc bénéficier de la contrepartie obligatoire en repos pour les 13 heures en plus du paiement des HS (sujet).</t>
  </si>
  <si>
    <t>Ce document est une proposition de corrigé fournie à titre indicatif proposé par le site www.comprendre-la-compta-gestion.com</t>
  </si>
  <si>
    <t xml:space="preserve">CELLULE G3 =SI(F3="Non";E3*D3;"0,00") </t>
  </si>
  <si>
    <t>Forme du courriel</t>
  </si>
  <si>
    <t>De : stagiaire@semab.com</t>
  </si>
  <si>
    <t>A : cormet@semab.com</t>
  </si>
  <si>
    <t>Objet : RE : Heures supplémentaires de Mme Parosan</t>
  </si>
  <si>
    <t>Bonjour,</t>
  </si>
  <si>
    <t>Éléments de réponse à rédiger</t>
  </si>
  <si>
    <t>Cordialement…</t>
  </si>
  <si>
    <t>Coût d’acquisition : 252 000 – 3 000 = 249 000 €</t>
  </si>
  <si>
    <t>Option n°2 : laisser les frais de transport dans le compte 6241</t>
  </si>
  <si>
    <t>Frais de transport</t>
  </si>
  <si>
    <t>Option choisie dans le sujet.</t>
  </si>
  <si>
    <t>Les frais accessoires sur achats sont comptabilisés dans les comptes de charges par nature.</t>
  </si>
  <si>
    <t>Débit</t>
  </si>
  <si>
    <t>Crédit</t>
  </si>
  <si>
    <t>Filet de protection</t>
  </si>
  <si>
    <t>456300 Associés versements reçus sur augmentation de capital</t>
  </si>
  <si>
    <t>du 24 au 30 avril : 5 jours (hors 2 jours de repos)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</si>
</sst>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 #,##0.00\ &quot;€&quot;_-;\-* #,##0.00\ &quot;€&quot;_-;_-* &quot;-&quot;??\ &quot;€&quot;_-;_-@_-"/>
    <numFmt numFmtId="164" formatCode="_-* #,##0.00\ [$€-40C]_-;\-* #,##0.00\ [$€-40C]_-;_-* &quot;-&quot;??\ [$€-40C]_-;_-@_-"/>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b/>
      <u/>
      <sz val="11"/>
      <color theme="1"/>
      <name val="Calibri"/>
      <family val="2"/>
      <scheme val="minor"/>
    </font>
    <font>
      <b/>
      <sz val="10"/>
      <color theme="1"/>
      <name val="Arial"/>
      <family val="2"/>
    </font>
    <font>
      <u/>
      <sz val="11"/>
      <color theme="1"/>
      <name val="Calibri"/>
      <family val="2"/>
      <scheme val="minor"/>
    </font>
    <font>
      <sz val="11"/>
      <color theme="4" tint="-0.499984740745262"/>
      <name val="Calibri"/>
      <family val="2"/>
      <scheme val="minor"/>
    </font>
    <font>
      <b/>
      <sz val="12"/>
      <color theme="4" tint="-0.499984740745262"/>
      <name val="Calibri"/>
      <family val="2"/>
      <scheme val="minor"/>
    </font>
    <font>
      <sz val="11"/>
      <color rgb="FF000000"/>
      <name val="Calibri"/>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7">
    <border>
      <left/>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s>
  <cellStyleXfs count="2">
    <xf numFmtId="0" fontId="0" fillId="0" borderId="0"/>
    <xf numFmtId="44" fontId="1" fillId="0" borderId="0" applyFont="0" applyFill="0" applyBorder="0" applyAlignment="0" applyProtection="0"/>
  </cellStyleXfs>
  <cellXfs count="38">
    <xf numFmtId="0" fontId="0" fillId="0" borderId="0" xfId="0"/>
    <xf numFmtId="0" fontId="0" fillId="0" borderId="1" xfId="0" applyBorder="1"/>
    <xf numFmtId="0" fontId="0" fillId="0" borderId="0" xfId="0" applyBorder="1"/>
    <xf numFmtId="164" fontId="0" fillId="0" borderId="1" xfId="0" applyNumberFormat="1" applyBorder="1"/>
    <xf numFmtId="164" fontId="0" fillId="0" borderId="3" xfId="0" applyNumberFormat="1" applyBorder="1"/>
    <xf numFmtId="164" fontId="0" fillId="0" borderId="0" xfId="0" applyNumberFormat="1"/>
    <xf numFmtId="164" fontId="0" fillId="0" borderId="4" xfId="0" applyNumberFormat="1" applyBorder="1"/>
    <xf numFmtId="0" fontId="3" fillId="0" borderId="0" xfId="0" applyFont="1"/>
    <xf numFmtId="0" fontId="0" fillId="0" borderId="5" xfId="0" applyBorder="1"/>
    <xf numFmtId="0" fontId="0" fillId="0" borderId="5" xfId="0" applyBorder="1" applyAlignment="1">
      <alignment horizontal="center"/>
    </xf>
    <xf numFmtId="0" fontId="2" fillId="0" borderId="5" xfId="0" applyFont="1" applyBorder="1" applyAlignment="1">
      <alignment horizontal="center"/>
    </xf>
    <xf numFmtId="44" fontId="0" fillId="0" borderId="0" xfId="1" applyFont="1"/>
    <xf numFmtId="44" fontId="0" fillId="0" borderId="5" xfId="1" applyFont="1" applyBorder="1"/>
    <xf numFmtId="44" fontId="0" fillId="0" borderId="5" xfId="0" applyNumberFormat="1" applyBorder="1"/>
    <xf numFmtId="0" fontId="2" fillId="0" borderId="0" xfId="0" applyFont="1"/>
    <xf numFmtId="0" fontId="4" fillId="0" borderId="0" xfId="0" applyFont="1"/>
    <xf numFmtId="3" fontId="0" fillId="0" borderId="0" xfId="0" applyNumberFormat="1"/>
    <xf numFmtId="0" fontId="5" fillId="0" borderId="0" xfId="0" applyFont="1" applyAlignment="1">
      <alignment vertical="center"/>
    </xf>
    <xf numFmtId="0" fontId="6" fillId="0" borderId="0" xfId="0" applyFont="1"/>
    <xf numFmtId="164" fontId="0" fillId="0" borderId="0" xfId="0" applyNumberFormat="1" applyBorder="1"/>
    <xf numFmtId="0" fontId="0" fillId="0" borderId="4" xfId="0" applyBorder="1"/>
    <xf numFmtId="0" fontId="0" fillId="0" borderId="0" xfId="0" applyFont="1"/>
    <xf numFmtId="0" fontId="7" fillId="0" borderId="0" xfId="0" applyFont="1"/>
    <xf numFmtId="0" fontId="0" fillId="0" borderId="0" xfId="0" applyBorder="1" applyAlignment="1">
      <alignment horizontal="center"/>
    </xf>
    <xf numFmtId="0" fontId="0" fillId="2" borderId="0" xfId="0" applyFill="1"/>
    <xf numFmtId="0" fontId="8" fillId="2" borderId="0" xfId="0" applyFont="1" applyFill="1"/>
    <xf numFmtId="164" fontId="0" fillId="2" borderId="0" xfId="0" applyNumberFormat="1" applyFill="1"/>
    <xf numFmtId="0" fontId="0" fillId="2" borderId="1" xfId="0" applyFill="1" applyBorder="1"/>
    <xf numFmtId="0" fontId="0" fillId="2" borderId="0" xfId="0" applyFill="1" applyBorder="1" applyAlignment="1">
      <alignment horizontal="center"/>
    </xf>
    <xf numFmtId="164" fontId="0" fillId="2" borderId="1" xfId="0" applyNumberFormat="1" applyFill="1" applyBorder="1"/>
    <xf numFmtId="164" fontId="0" fillId="2" borderId="3" xfId="0" applyNumberFormat="1" applyFill="1" applyBorder="1"/>
    <xf numFmtId="0" fontId="7" fillId="2" borderId="0" xfId="0" applyFont="1" applyFill="1"/>
    <xf numFmtId="0" fontId="2" fillId="2" borderId="0" xfId="0" applyFont="1" applyFill="1"/>
    <xf numFmtId="0" fontId="0" fillId="2" borderId="0" xfId="0" applyFill="1" applyBorder="1"/>
    <xf numFmtId="164" fontId="0" fillId="2" borderId="4" xfId="0" applyNumberFormat="1" applyFill="1" applyBorder="1"/>
    <xf numFmtId="0" fontId="9" fillId="3" borderId="6" xfId="0" applyFont="1" applyFill="1" applyBorder="1" applyAlignment="1">
      <alignment horizontal="center" vertical="center"/>
    </xf>
    <xf numFmtId="0" fontId="9" fillId="0" borderId="6" xfId="0" applyFont="1" applyBorder="1" applyAlignment="1">
      <alignment horizontal="center" vertical="center"/>
    </xf>
    <xf numFmtId="164" fontId="0" fillId="0" borderId="2" xfId="0" applyNumberFormat="1" applyBorder="1" applyAlignment="1">
      <alignment horizontal="center"/>
    </xf>
  </cellXfs>
  <cellStyles count="2">
    <cellStyle name="Monétaire"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7</xdr:col>
      <xdr:colOff>46381</xdr:colOff>
      <xdr:row>24</xdr:row>
      <xdr:rowOff>51375</xdr:rowOff>
    </xdr:from>
    <xdr:to>
      <xdr:col>13</xdr:col>
      <xdr:colOff>944853</xdr:colOff>
      <xdr:row>29</xdr:row>
      <xdr:rowOff>101022</xdr:rowOff>
    </xdr:to>
    <xdr:pic>
      <xdr:nvPicPr>
        <xdr:cNvPr id="2" name="Image 1"/>
        <xdr:cNvPicPr>
          <a:picLocks noChangeAspect="1"/>
        </xdr:cNvPicPr>
      </xdr:nvPicPr>
      <xdr:blipFill>
        <a:blip xmlns:r="http://schemas.openxmlformats.org/officeDocument/2006/relationships" r:embed="rId1"/>
        <a:stretch>
          <a:fillRect/>
        </a:stretch>
      </xdr:blipFill>
      <xdr:spPr>
        <a:xfrm>
          <a:off x="5999506" y="2302739"/>
          <a:ext cx="5596029" cy="987715"/>
        </a:xfrm>
        <a:prstGeom prst="rect">
          <a:avLst/>
        </a:prstGeom>
      </xdr:spPr>
    </xdr:pic>
    <xdr:clientData/>
  </xdr:twoCellAnchor>
  <xdr:twoCellAnchor>
    <xdr:from>
      <xdr:col>6</xdr:col>
      <xdr:colOff>209261</xdr:colOff>
      <xdr:row>11</xdr:row>
      <xdr:rowOff>108239</xdr:rowOff>
    </xdr:from>
    <xdr:to>
      <xdr:col>6</xdr:col>
      <xdr:colOff>671079</xdr:colOff>
      <xdr:row>19</xdr:row>
      <xdr:rowOff>158750</xdr:rowOff>
    </xdr:to>
    <xdr:sp macro="" textlink="">
      <xdr:nvSpPr>
        <xdr:cNvPr id="3" name="Accolade fermante 2"/>
        <xdr:cNvSpPr/>
      </xdr:nvSpPr>
      <xdr:spPr>
        <a:xfrm>
          <a:off x="5397500" y="2179205"/>
          <a:ext cx="461818" cy="155142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1055512</xdr:colOff>
      <xdr:row>5</xdr:row>
      <xdr:rowOff>102307</xdr:rowOff>
    </xdr:from>
    <xdr:to>
      <xdr:col>9</xdr:col>
      <xdr:colOff>270672</xdr:colOff>
      <xdr:row>14</xdr:row>
      <xdr:rowOff>82599</xdr:rowOff>
    </xdr:to>
    <xdr:pic>
      <xdr:nvPicPr>
        <xdr:cNvPr id="2" name="Image 1"/>
        <xdr:cNvPicPr>
          <a:picLocks noChangeAspect="1"/>
        </xdr:cNvPicPr>
      </xdr:nvPicPr>
      <xdr:blipFill>
        <a:blip xmlns:r="http://schemas.openxmlformats.org/officeDocument/2006/relationships" r:embed="rId1"/>
        <a:stretch>
          <a:fillRect/>
        </a:stretch>
      </xdr:blipFill>
      <xdr:spPr>
        <a:xfrm>
          <a:off x="1817512" y="1019529"/>
          <a:ext cx="6023771" cy="16312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158750</xdr:rowOff>
    </xdr:from>
    <xdr:to>
      <xdr:col>6</xdr:col>
      <xdr:colOff>540753</xdr:colOff>
      <xdr:row>13</xdr:row>
      <xdr:rowOff>74796</xdr:rowOff>
    </xdr:to>
    <xdr:pic>
      <xdr:nvPicPr>
        <xdr:cNvPr id="2" name="Image 1"/>
        <xdr:cNvPicPr>
          <a:picLocks noChangeAspect="1"/>
        </xdr:cNvPicPr>
      </xdr:nvPicPr>
      <xdr:blipFill>
        <a:blip xmlns:r="http://schemas.openxmlformats.org/officeDocument/2006/relationships" r:embed="rId1"/>
        <a:stretch>
          <a:fillRect/>
        </a:stretch>
      </xdr:blipFill>
      <xdr:spPr>
        <a:xfrm>
          <a:off x="0" y="711200"/>
          <a:ext cx="5632450" cy="1757546"/>
        </a:xfrm>
        <a:prstGeom prst="rect">
          <a:avLst/>
        </a:prstGeom>
      </xdr:spPr>
    </xdr:pic>
    <xdr:clientData/>
  </xdr:twoCellAnchor>
  <xdr:twoCellAnchor editAs="oneCell">
    <xdr:from>
      <xdr:col>9</xdr:col>
      <xdr:colOff>476250</xdr:colOff>
      <xdr:row>4</xdr:row>
      <xdr:rowOff>125329</xdr:rowOff>
    </xdr:from>
    <xdr:to>
      <xdr:col>20</xdr:col>
      <xdr:colOff>345722</xdr:colOff>
      <xdr:row>12</xdr:row>
      <xdr:rowOff>128710</xdr:rowOff>
    </xdr:to>
    <xdr:pic>
      <xdr:nvPicPr>
        <xdr:cNvPr id="3" name="Image 2"/>
        <xdr:cNvPicPr>
          <a:picLocks noChangeAspect="1"/>
        </xdr:cNvPicPr>
      </xdr:nvPicPr>
      <xdr:blipFill>
        <a:blip xmlns:r="http://schemas.openxmlformats.org/officeDocument/2006/relationships" r:embed="rId2"/>
        <a:stretch>
          <a:fillRect/>
        </a:stretch>
      </xdr:blipFill>
      <xdr:spPr>
        <a:xfrm>
          <a:off x="7603289" y="860592"/>
          <a:ext cx="8233090" cy="1473907"/>
        </a:xfrm>
        <a:prstGeom prst="rect">
          <a:avLst/>
        </a:prstGeom>
      </xdr:spPr>
    </xdr:pic>
    <xdr:clientData/>
  </xdr:twoCellAnchor>
  <xdr:twoCellAnchor editAs="oneCell">
    <xdr:from>
      <xdr:col>10</xdr:col>
      <xdr:colOff>200526</xdr:colOff>
      <xdr:row>24</xdr:row>
      <xdr:rowOff>16712</xdr:rowOff>
    </xdr:from>
    <xdr:to>
      <xdr:col>20</xdr:col>
      <xdr:colOff>515958</xdr:colOff>
      <xdr:row>32</xdr:row>
      <xdr:rowOff>162989</xdr:rowOff>
    </xdr:to>
    <xdr:pic>
      <xdr:nvPicPr>
        <xdr:cNvPr id="4" name="Image 3"/>
        <xdr:cNvPicPr>
          <a:picLocks noChangeAspect="1"/>
        </xdr:cNvPicPr>
      </xdr:nvPicPr>
      <xdr:blipFill>
        <a:blip xmlns:r="http://schemas.openxmlformats.org/officeDocument/2006/relationships" r:embed="rId3"/>
        <a:stretch>
          <a:fillRect/>
        </a:stretch>
      </xdr:blipFill>
      <xdr:spPr>
        <a:xfrm>
          <a:off x="8087894" y="4428291"/>
          <a:ext cx="7918721" cy="1616803"/>
        </a:xfrm>
        <a:prstGeom prst="rect">
          <a:avLst/>
        </a:prstGeom>
      </xdr:spPr>
    </xdr:pic>
    <xdr:clientData/>
  </xdr:twoCellAnchor>
  <xdr:twoCellAnchor editAs="oneCell">
    <xdr:from>
      <xdr:col>10</xdr:col>
      <xdr:colOff>33421</xdr:colOff>
      <xdr:row>33</xdr:row>
      <xdr:rowOff>175460</xdr:rowOff>
    </xdr:from>
    <xdr:to>
      <xdr:col>20</xdr:col>
      <xdr:colOff>729907</xdr:colOff>
      <xdr:row>53</xdr:row>
      <xdr:rowOff>55641</xdr:rowOff>
    </xdr:to>
    <xdr:pic>
      <xdr:nvPicPr>
        <xdr:cNvPr id="5" name="Image 4"/>
        <xdr:cNvPicPr>
          <a:picLocks noChangeAspect="1"/>
        </xdr:cNvPicPr>
      </xdr:nvPicPr>
      <xdr:blipFill>
        <a:blip xmlns:r="http://schemas.openxmlformats.org/officeDocument/2006/relationships" r:embed="rId4"/>
        <a:stretch>
          <a:fillRect/>
        </a:stretch>
      </xdr:blipFill>
      <xdr:spPr>
        <a:xfrm>
          <a:off x="7920789" y="6241381"/>
          <a:ext cx="8299775" cy="3556497"/>
        </a:xfrm>
        <a:prstGeom prst="rect">
          <a:avLst/>
        </a:prstGeom>
      </xdr:spPr>
    </xdr:pic>
    <xdr:clientData/>
  </xdr:twoCellAnchor>
  <xdr:twoCellAnchor>
    <xdr:from>
      <xdr:col>5</xdr:col>
      <xdr:colOff>83552</xdr:colOff>
      <xdr:row>12</xdr:row>
      <xdr:rowOff>16711</xdr:rowOff>
    </xdr:from>
    <xdr:to>
      <xdr:col>10</xdr:col>
      <xdr:colOff>167106</xdr:colOff>
      <xdr:row>19</xdr:row>
      <xdr:rowOff>58487</xdr:rowOff>
    </xdr:to>
    <xdr:cxnSp macro="">
      <xdr:nvCxnSpPr>
        <xdr:cNvPr id="7" name="Connecteur droit avec flèche 6"/>
        <xdr:cNvCxnSpPr/>
      </xdr:nvCxnSpPr>
      <xdr:spPr>
        <a:xfrm flipH="1">
          <a:off x="4169276" y="2222500"/>
          <a:ext cx="3885198" cy="13284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518026</xdr:colOff>
      <xdr:row>30</xdr:row>
      <xdr:rowOff>0</xdr:rowOff>
    </xdr:from>
    <xdr:to>
      <xdr:col>9</xdr:col>
      <xdr:colOff>451184</xdr:colOff>
      <xdr:row>30</xdr:row>
      <xdr:rowOff>58487</xdr:rowOff>
    </xdr:to>
    <xdr:cxnSp macro="">
      <xdr:nvCxnSpPr>
        <xdr:cNvPr id="9" name="Connecteur droit avec flèche 8"/>
        <xdr:cNvCxnSpPr/>
      </xdr:nvCxnSpPr>
      <xdr:spPr>
        <a:xfrm flipH="1">
          <a:off x="5598026" y="5514474"/>
          <a:ext cx="2214145" cy="584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442829</xdr:colOff>
      <xdr:row>36</xdr:row>
      <xdr:rowOff>66843</xdr:rowOff>
    </xdr:from>
    <xdr:to>
      <xdr:col>9</xdr:col>
      <xdr:colOff>584868</xdr:colOff>
      <xdr:row>38</xdr:row>
      <xdr:rowOff>125329</xdr:rowOff>
    </xdr:to>
    <xdr:cxnSp macro="">
      <xdr:nvCxnSpPr>
        <xdr:cNvPr id="11" name="Connecteur droit avec flèche 10"/>
        <xdr:cNvCxnSpPr/>
      </xdr:nvCxnSpPr>
      <xdr:spPr>
        <a:xfrm flipH="1" flipV="1">
          <a:off x="5522829" y="6684211"/>
          <a:ext cx="2423026" cy="4261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742209</xdr:colOff>
      <xdr:row>30</xdr:row>
      <xdr:rowOff>148441</xdr:rowOff>
    </xdr:from>
    <xdr:to>
      <xdr:col>16</xdr:col>
      <xdr:colOff>328652</xdr:colOff>
      <xdr:row>43</xdr:row>
      <xdr:rowOff>112147</xdr:rowOff>
    </xdr:to>
    <xdr:pic>
      <xdr:nvPicPr>
        <xdr:cNvPr id="2" name="Image 1"/>
        <xdr:cNvPicPr>
          <a:picLocks noChangeAspect="1"/>
        </xdr:cNvPicPr>
      </xdr:nvPicPr>
      <xdr:blipFill>
        <a:blip xmlns:r="http://schemas.openxmlformats.org/officeDocument/2006/relationships" r:embed="rId1"/>
        <a:stretch>
          <a:fillRect/>
        </a:stretch>
      </xdr:blipFill>
      <xdr:spPr>
        <a:xfrm>
          <a:off x="9087923" y="5409870"/>
          <a:ext cx="3379950" cy="23222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209550</xdr:colOff>
      <xdr:row>0</xdr:row>
      <xdr:rowOff>114301</xdr:rowOff>
    </xdr:from>
    <xdr:to>
      <xdr:col>8</xdr:col>
      <xdr:colOff>51949</xdr:colOff>
      <xdr:row>11</xdr:row>
      <xdr:rowOff>147204</xdr:rowOff>
    </xdr:to>
    <xdr:pic>
      <xdr:nvPicPr>
        <xdr:cNvPr id="2" name="Image 1"/>
        <xdr:cNvPicPr>
          <a:picLocks noChangeAspect="1"/>
        </xdr:cNvPicPr>
      </xdr:nvPicPr>
      <xdr:blipFill>
        <a:blip xmlns:r="http://schemas.openxmlformats.org/officeDocument/2006/relationships" r:embed="rId1"/>
        <a:stretch>
          <a:fillRect/>
        </a:stretch>
      </xdr:blipFill>
      <xdr:spPr>
        <a:xfrm>
          <a:off x="971550" y="114301"/>
          <a:ext cx="5455799" cy="2058553"/>
        </a:xfrm>
        <a:prstGeom prst="rect">
          <a:avLst/>
        </a:prstGeom>
      </xdr:spPr>
    </xdr:pic>
    <xdr:clientData/>
  </xdr:twoCellAnchor>
  <xdr:twoCellAnchor editAs="oneCell">
    <xdr:from>
      <xdr:col>1</xdr:col>
      <xdr:colOff>112713</xdr:colOff>
      <xdr:row>26</xdr:row>
      <xdr:rowOff>77789</xdr:rowOff>
    </xdr:from>
    <xdr:to>
      <xdr:col>9</xdr:col>
      <xdr:colOff>529753</xdr:colOff>
      <xdr:row>38</xdr:row>
      <xdr:rowOff>134834</xdr:rowOff>
    </xdr:to>
    <xdr:pic>
      <xdr:nvPicPr>
        <xdr:cNvPr id="3" name="Image 2"/>
        <xdr:cNvPicPr>
          <a:picLocks noChangeAspect="1"/>
        </xdr:cNvPicPr>
      </xdr:nvPicPr>
      <xdr:blipFill>
        <a:blip xmlns:r="http://schemas.openxmlformats.org/officeDocument/2006/relationships" r:embed="rId2"/>
        <a:stretch>
          <a:fillRect/>
        </a:stretch>
      </xdr:blipFill>
      <xdr:spPr>
        <a:xfrm>
          <a:off x="874713" y="4824414"/>
          <a:ext cx="6798790" cy="22477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450850</xdr:colOff>
      <xdr:row>0</xdr:row>
      <xdr:rowOff>44451</xdr:rowOff>
    </xdr:from>
    <xdr:to>
      <xdr:col>7</xdr:col>
      <xdr:colOff>690409</xdr:colOff>
      <xdr:row>9</xdr:row>
      <xdr:rowOff>37877</xdr:rowOff>
    </xdr:to>
    <xdr:pic>
      <xdr:nvPicPr>
        <xdr:cNvPr id="2" name="Image 1"/>
        <xdr:cNvPicPr>
          <a:picLocks noChangeAspect="1"/>
        </xdr:cNvPicPr>
      </xdr:nvPicPr>
      <xdr:blipFill>
        <a:blip xmlns:r="http://schemas.openxmlformats.org/officeDocument/2006/relationships" r:embed="rId1"/>
        <a:stretch>
          <a:fillRect/>
        </a:stretch>
      </xdr:blipFill>
      <xdr:spPr>
        <a:xfrm>
          <a:off x="450850" y="44451"/>
          <a:ext cx="5649467" cy="1650776"/>
        </a:xfrm>
        <a:prstGeom prst="rect">
          <a:avLst/>
        </a:prstGeom>
      </xdr:spPr>
    </xdr:pic>
    <xdr:clientData/>
  </xdr:twoCellAnchor>
  <xdr:twoCellAnchor editAs="oneCell">
    <xdr:from>
      <xdr:col>8</xdr:col>
      <xdr:colOff>218965</xdr:colOff>
      <xdr:row>4</xdr:row>
      <xdr:rowOff>58392</xdr:rowOff>
    </xdr:from>
    <xdr:to>
      <xdr:col>14</xdr:col>
      <xdr:colOff>387704</xdr:colOff>
      <xdr:row>11</xdr:row>
      <xdr:rowOff>117638</xdr:rowOff>
    </xdr:to>
    <xdr:pic>
      <xdr:nvPicPr>
        <xdr:cNvPr id="3" name="Image 2"/>
        <xdr:cNvPicPr>
          <a:picLocks noChangeAspect="1"/>
        </xdr:cNvPicPr>
      </xdr:nvPicPr>
      <xdr:blipFill>
        <a:blip xmlns:r="http://schemas.openxmlformats.org/officeDocument/2006/relationships" r:embed="rId2"/>
        <a:stretch>
          <a:fillRect/>
        </a:stretch>
      </xdr:blipFill>
      <xdr:spPr>
        <a:xfrm>
          <a:off x="6291609" y="788277"/>
          <a:ext cx="4723222" cy="1336545"/>
        </a:xfrm>
        <a:prstGeom prst="rect">
          <a:avLst/>
        </a:prstGeom>
      </xdr:spPr>
    </xdr:pic>
    <xdr:clientData/>
  </xdr:twoCellAnchor>
  <xdr:twoCellAnchor>
    <xdr:from>
      <xdr:col>4</xdr:col>
      <xdr:colOff>218965</xdr:colOff>
      <xdr:row>10</xdr:row>
      <xdr:rowOff>153276</xdr:rowOff>
    </xdr:from>
    <xdr:to>
      <xdr:col>8</xdr:col>
      <xdr:colOff>7299</xdr:colOff>
      <xdr:row>13</xdr:row>
      <xdr:rowOff>65690</xdr:rowOff>
    </xdr:to>
    <xdr:cxnSp macro="">
      <xdr:nvCxnSpPr>
        <xdr:cNvPr id="5" name="Connecteur droit avec flèche 4"/>
        <xdr:cNvCxnSpPr/>
      </xdr:nvCxnSpPr>
      <xdr:spPr>
        <a:xfrm flipH="1">
          <a:off x="3255287" y="1977989"/>
          <a:ext cx="2824656" cy="4598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14597</xdr:colOff>
      <xdr:row>30</xdr:row>
      <xdr:rowOff>87586</xdr:rowOff>
    </xdr:from>
    <xdr:to>
      <xdr:col>9</xdr:col>
      <xdr:colOff>339933</xdr:colOff>
      <xdr:row>38</xdr:row>
      <xdr:rowOff>82859</xdr:rowOff>
    </xdr:to>
    <xdr:pic>
      <xdr:nvPicPr>
        <xdr:cNvPr id="6" name="Image 5"/>
        <xdr:cNvPicPr>
          <a:picLocks noChangeAspect="1"/>
        </xdr:cNvPicPr>
      </xdr:nvPicPr>
      <xdr:blipFill>
        <a:blip xmlns:r="http://schemas.openxmlformats.org/officeDocument/2006/relationships" r:embed="rId3"/>
        <a:stretch>
          <a:fillRect/>
        </a:stretch>
      </xdr:blipFill>
      <xdr:spPr>
        <a:xfrm>
          <a:off x="1532758" y="5379253"/>
          <a:ext cx="5711888" cy="1455043"/>
        </a:xfrm>
        <a:prstGeom prst="rect">
          <a:avLst/>
        </a:prstGeom>
      </xdr:spPr>
    </xdr:pic>
    <xdr:clientData/>
  </xdr:twoCellAnchor>
  <xdr:twoCellAnchor editAs="oneCell">
    <xdr:from>
      <xdr:col>0</xdr:col>
      <xdr:colOff>277356</xdr:colOff>
      <xdr:row>46</xdr:row>
      <xdr:rowOff>138678</xdr:rowOff>
    </xdr:from>
    <xdr:to>
      <xdr:col>9</xdr:col>
      <xdr:colOff>394150</xdr:colOff>
      <xdr:row>57</xdr:row>
      <xdr:rowOff>52920</xdr:rowOff>
    </xdr:to>
    <xdr:pic>
      <xdr:nvPicPr>
        <xdr:cNvPr id="7" name="Image 6"/>
        <xdr:cNvPicPr>
          <a:picLocks noChangeAspect="1"/>
        </xdr:cNvPicPr>
      </xdr:nvPicPr>
      <xdr:blipFill>
        <a:blip xmlns:r="http://schemas.openxmlformats.org/officeDocument/2006/relationships" r:embed="rId4"/>
        <a:stretch>
          <a:fillRect/>
        </a:stretch>
      </xdr:blipFill>
      <xdr:spPr>
        <a:xfrm>
          <a:off x="277356" y="8532356"/>
          <a:ext cx="7021507" cy="1921426"/>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tabSelected="1" topLeftCell="A37" zoomScale="88" workbookViewId="0">
      <selection activeCell="C6" sqref="C6"/>
    </sheetView>
  </sheetViews>
  <sheetFormatPr baseColWidth="10" defaultRowHeight="14.5" x14ac:dyDescent="0.35"/>
  <cols>
    <col min="1" max="2" width="10.90625" style="24"/>
    <col min="3" max="3" width="14.81640625" style="24" customWidth="1"/>
    <col min="4" max="4" width="15.7265625" style="24" bestFit="1" customWidth="1"/>
    <col min="5" max="6" width="10.90625" style="26"/>
    <col min="7" max="12" width="10.90625" style="24"/>
    <col min="13" max="13" width="12.54296875" style="24" customWidth="1"/>
    <col min="14" max="14" width="24.7265625" style="24" bestFit="1" customWidth="1"/>
  </cols>
  <sheetData>
    <row r="1" spans="1:11" ht="15.5" x14ac:dyDescent="0.35">
      <c r="E1" s="25" t="s">
        <v>206</v>
      </c>
      <c r="G1" s="25"/>
    </row>
    <row r="2" spans="1:11" x14ac:dyDescent="0.35">
      <c r="A2" s="27"/>
      <c r="B2" s="27"/>
      <c r="C2" s="27"/>
      <c r="D2" s="28" t="s">
        <v>0</v>
      </c>
      <c r="E2" s="29"/>
      <c r="F2" s="29"/>
    </row>
    <row r="3" spans="1:11" x14ac:dyDescent="0.35">
      <c r="A3" s="24" t="s">
        <v>1</v>
      </c>
      <c r="E3" s="35" t="s">
        <v>220</v>
      </c>
      <c r="F3" s="35" t="s">
        <v>221</v>
      </c>
    </row>
    <row r="4" spans="1:11" x14ac:dyDescent="0.35">
      <c r="E4" s="30"/>
      <c r="F4" s="30"/>
      <c r="H4" s="31"/>
      <c r="I4" s="31"/>
      <c r="J4" s="31"/>
      <c r="K4" s="31"/>
    </row>
    <row r="5" spans="1:11" x14ac:dyDescent="0.35">
      <c r="B5" s="24">
        <v>605010</v>
      </c>
      <c r="C5" s="24" t="s">
        <v>222</v>
      </c>
      <c r="E5" s="30">
        <f>720+75*720/(720+530)</f>
        <v>763.2</v>
      </c>
      <c r="F5" s="30"/>
      <c r="H5" s="31" t="s">
        <v>148</v>
      </c>
      <c r="I5" s="31"/>
      <c r="J5" s="31"/>
      <c r="K5" s="31"/>
    </row>
    <row r="6" spans="1:11" x14ac:dyDescent="0.35">
      <c r="B6" s="24">
        <v>605020</v>
      </c>
      <c r="C6" s="24" t="s">
        <v>4</v>
      </c>
      <c r="E6" s="30">
        <f>530+75*530/(530+720)</f>
        <v>561.79999999999995</v>
      </c>
      <c r="F6" s="30"/>
      <c r="H6" s="31" t="s">
        <v>147</v>
      </c>
      <c r="I6" s="31"/>
      <c r="J6" s="31"/>
      <c r="K6" s="31"/>
    </row>
    <row r="7" spans="1:11" x14ac:dyDescent="0.35">
      <c r="B7" s="24">
        <v>445660</v>
      </c>
      <c r="C7" s="24" t="s">
        <v>2</v>
      </c>
      <c r="E7" s="30">
        <v>265</v>
      </c>
      <c r="F7" s="30"/>
      <c r="H7" s="31" t="s">
        <v>155</v>
      </c>
      <c r="I7" s="31"/>
      <c r="J7" s="31"/>
      <c r="K7" s="31"/>
    </row>
    <row r="8" spans="1:11" x14ac:dyDescent="0.35">
      <c r="C8" s="24">
        <v>401000</v>
      </c>
      <c r="D8" s="24" t="s">
        <v>5</v>
      </c>
      <c r="E8" s="30"/>
      <c r="F8" s="30">
        <f>+E7+E6+E5</f>
        <v>1590</v>
      </c>
    </row>
    <row r="9" spans="1:11" x14ac:dyDescent="0.35">
      <c r="A9" s="24" t="s">
        <v>6</v>
      </c>
      <c r="E9" s="30"/>
      <c r="F9" s="30"/>
    </row>
    <row r="10" spans="1:11" x14ac:dyDescent="0.35">
      <c r="E10" s="30"/>
      <c r="F10" s="30"/>
    </row>
    <row r="11" spans="1:11" x14ac:dyDescent="0.35">
      <c r="E11" s="30"/>
      <c r="F11" s="30"/>
    </row>
    <row r="12" spans="1:11" x14ac:dyDescent="0.35">
      <c r="A12" s="24" t="s">
        <v>216</v>
      </c>
      <c r="E12" s="30"/>
      <c r="F12" s="30"/>
    </row>
    <row r="13" spans="1:11" x14ac:dyDescent="0.35">
      <c r="A13" s="27"/>
      <c r="B13" s="27"/>
      <c r="C13" s="27"/>
      <c r="D13" s="28" t="s">
        <v>0</v>
      </c>
      <c r="E13" s="29"/>
      <c r="F13" s="29"/>
    </row>
    <row r="14" spans="1:11" x14ac:dyDescent="0.35">
      <c r="A14" s="24" t="s">
        <v>1</v>
      </c>
      <c r="E14" s="35" t="s">
        <v>220</v>
      </c>
      <c r="F14" s="35" t="s">
        <v>221</v>
      </c>
    </row>
    <row r="15" spans="1:11" x14ac:dyDescent="0.35">
      <c r="E15" s="30"/>
      <c r="F15" s="30"/>
    </row>
    <row r="16" spans="1:11" x14ac:dyDescent="0.35">
      <c r="B16" s="24">
        <v>605010</v>
      </c>
      <c r="C16" s="24" t="s">
        <v>3</v>
      </c>
      <c r="E16" s="30">
        <v>720</v>
      </c>
      <c r="F16" s="30"/>
      <c r="H16" s="32" t="s">
        <v>218</v>
      </c>
    </row>
    <row r="17" spans="1:14" x14ac:dyDescent="0.35">
      <c r="B17" s="24">
        <v>605020</v>
      </c>
      <c r="C17" s="24" t="s">
        <v>4</v>
      </c>
      <c r="E17" s="30">
        <v>530</v>
      </c>
      <c r="F17" s="30"/>
      <c r="H17" s="24" t="s">
        <v>219</v>
      </c>
    </row>
    <row r="18" spans="1:14" x14ac:dyDescent="0.35">
      <c r="B18" s="24">
        <v>624100</v>
      </c>
      <c r="C18" s="24" t="s">
        <v>217</v>
      </c>
      <c r="E18" s="30">
        <f>75</f>
        <v>75</v>
      </c>
      <c r="F18" s="30"/>
    </row>
    <row r="19" spans="1:14" x14ac:dyDescent="0.35">
      <c r="B19" s="24">
        <v>445660</v>
      </c>
      <c r="C19" s="24" t="s">
        <v>2</v>
      </c>
      <c r="E19" s="30">
        <v>265</v>
      </c>
      <c r="F19" s="30"/>
    </row>
    <row r="20" spans="1:14" x14ac:dyDescent="0.35">
      <c r="C20" s="24">
        <v>401000</v>
      </c>
      <c r="D20" s="24" t="s">
        <v>5</v>
      </c>
      <c r="E20" s="30"/>
      <c r="F20" s="30">
        <f>+E19+E17+E16+E18</f>
        <v>1590</v>
      </c>
    </row>
    <row r="21" spans="1:14" x14ac:dyDescent="0.35">
      <c r="A21" s="24" t="s">
        <v>6</v>
      </c>
      <c r="E21" s="30"/>
      <c r="F21" s="30"/>
    </row>
    <row r="22" spans="1:14" x14ac:dyDescent="0.35">
      <c r="E22" s="30"/>
      <c r="F22" s="30"/>
    </row>
    <row r="23" spans="1:14" x14ac:dyDescent="0.35">
      <c r="A23" s="32" t="s">
        <v>149</v>
      </c>
    </row>
    <row r="25" spans="1:14" x14ac:dyDescent="0.35">
      <c r="A25" s="27"/>
      <c r="B25" s="27"/>
      <c r="C25" s="27"/>
      <c r="D25" s="33" t="s">
        <v>7</v>
      </c>
      <c r="E25" s="29"/>
      <c r="F25" s="29"/>
    </row>
    <row r="26" spans="1:14" x14ac:dyDescent="0.35">
      <c r="A26" s="24" t="s">
        <v>1</v>
      </c>
      <c r="E26" s="35" t="s">
        <v>220</v>
      </c>
      <c r="F26" s="35" t="s">
        <v>221</v>
      </c>
    </row>
    <row r="27" spans="1:14" x14ac:dyDescent="0.35">
      <c r="E27" s="30"/>
      <c r="F27" s="30"/>
    </row>
    <row r="28" spans="1:14" x14ac:dyDescent="0.35">
      <c r="B28" s="24">
        <v>62131</v>
      </c>
      <c r="C28" s="24" t="s">
        <v>8</v>
      </c>
      <c r="E28" s="30">
        <v>1890</v>
      </c>
      <c r="F28" s="30"/>
    </row>
    <row r="29" spans="1:14" x14ac:dyDescent="0.35">
      <c r="B29" s="24">
        <v>445856</v>
      </c>
      <c r="C29" s="24" t="s">
        <v>9</v>
      </c>
      <c r="E29" s="30">
        <f>+E28*20%</f>
        <v>378</v>
      </c>
      <c r="F29" s="30"/>
    </row>
    <row r="30" spans="1:14" x14ac:dyDescent="0.35">
      <c r="C30" s="24">
        <v>401000</v>
      </c>
      <c r="D30" s="24" t="s">
        <v>11</v>
      </c>
      <c r="E30" s="30"/>
      <c r="F30" s="30">
        <f>+E29+E28</f>
        <v>2268</v>
      </c>
    </row>
    <row r="31" spans="1:14" x14ac:dyDescent="0.35">
      <c r="A31" s="24" t="s">
        <v>10</v>
      </c>
      <c r="E31" s="30"/>
      <c r="F31" s="30"/>
      <c r="H31" s="31" t="s">
        <v>150</v>
      </c>
      <c r="N31" s="31" t="s">
        <v>156</v>
      </c>
    </row>
    <row r="33" spans="1:12" x14ac:dyDescent="0.35">
      <c r="A33" s="32" t="s">
        <v>149</v>
      </c>
    </row>
    <row r="36" spans="1:12" x14ac:dyDescent="0.35">
      <c r="A36" s="27"/>
      <c r="B36" s="27"/>
      <c r="C36" s="27"/>
      <c r="D36" s="28" t="s">
        <v>12</v>
      </c>
      <c r="E36" s="29"/>
      <c r="F36" s="29"/>
    </row>
    <row r="37" spans="1:12" x14ac:dyDescent="0.35">
      <c r="A37" s="24" t="s">
        <v>1</v>
      </c>
      <c r="E37" s="35" t="s">
        <v>220</v>
      </c>
      <c r="F37" s="35" t="s">
        <v>221</v>
      </c>
    </row>
    <row r="38" spans="1:12" x14ac:dyDescent="0.35">
      <c r="E38" s="30"/>
      <c r="F38" s="30"/>
      <c r="H38" s="31" t="s">
        <v>151</v>
      </c>
      <c r="I38" s="31"/>
      <c r="J38" s="31"/>
      <c r="K38" s="31"/>
      <c r="L38" s="31"/>
    </row>
    <row r="39" spans="1:12" x14ac:dyDescent="0.35">
      <c r="B39" s="24">
        <v>606360</v>
      </c>
      <c r="C39" s="24" t="s">
        <v>13</v>
      </c>
      <c r="E39" s="30">
        <v>1800</v>
      </c>
      <c r="F39" s="30"/>
      <c r="H39" s="31" t="s">
        <v>152</v>
      </c>
      <c r="I39" s="31"/>
      <c r="J39" s="31"/>
      <c r="K39" s="31"/>
      <c r="L39" s="31"/>
    </row>
    <row r="40" spans="1:12" x14ac:dyDescent="0.35">
      <c r="B40" s="24">
        <v>445662</v>
      </c>
      <c r="C40" s="24" t="s">
        <v>15</v>
      </c>
      <c r="E40" s="30">
        <f>+E39*20%</f>
        <v>360</v>
      </c>
      <c r="F40" s="30"/>
      <c r="H40" s="31" t="s">
        <v>153</v>
      </c>
      <c r="I40" s="31"/>
      <c r="J40" s="31"/>
      <c r="K40" s="31"/>
      <c r="L40" s="31"/>
    </row>
    <row r="41" spans="1:12" x14ac:dyDescent="0.35">
      <c r="C41" s="24">
        <v>445200</v>
      </c>
      <c r="D41" s="24" t="s">
        <v>14</v>
      </c>
      <c r="E41" s="30"/>
      <c r="F41" s="30">
        <f>+E40</f>
        <v>360</v>
      </c>
      <c r="H41" s="31" t="s">
        <v>154</v>
      </c>
      <c r="I41" s="31"/>
      <c r="J41" s="31"/>
      <c r="K41" s="31" t="s">
        <v>156</v>
      </c>
      <c r="L41" s="31"/>
    </row>
    <row r="42" spans="1:12" x14ac:dyDescent="0.35">
      <c r="C42" s="24">
        <v>401000</v>
      </c>
      <c r="D42" s="24" t="s">
        <v>16</v>
      </c>
      <c r="E42" s="30"/>
      <c r="F42" s="30">
        <f>+E39</f>
        <v>1800</v>
      </c>
    </row>
    <row r="43" spans="1:12" x14ac:dyDescent="0.35">
      <c r="A43" s="24" t="s">
        <v>17</v>
      </c>
    </row>
    <row r="45" spans="1:12" x14ac:dyDescent="0.35">
      <c r="A45" s="32" t="s">
        <v>149</v>
      </c>
    </row>
    <row r="46" spans="1:12" x14ac:dyDescent="0.35">
      <c r="A46" s="27"/>
      <c r="B46" s="27"/>
      <c r="C46" s="27"/>
      <c r="D46" s="33" t="s">
        <v>19</v>
      </c>
      <c r="E46" s="29"/>
      <c r="F46" s="29"/>
    </row>
    <row r="47" spans="1:12" x14ac:dyDescent="0.35">
      <c r="A47" s="24" t="s">
        <v>18</v>
      </c>
      <c r="E47" s="35" t="s">
        <v>220</v>
      </c>
      <c r="F47" s="35" t="s">
        <v>221</v>
      </c>
    </row>
    <row r="48" spans="1:12" x14ac:dyDescent="0.35">
      <c r="E48" s="30"/>
      <c r="F48" s="30"/>
    </row>
    <row r="49" spans="1:6" x14ac:dyDescent="0.35">
      <c r="C49" s="24">
        <v>706001</v>
      </c>
      <c r="D49" s="24" t="s">
        <v>20</v>
      </c>
      <c r="E49" s="30"/>
      <c r="F49" s="30">
        <f>519.6/1.1</f>
        <v>472.36363636363637</v>
      </c>
    </row>
    <row r="50" spans="1:6" x14ac:dyDescent="0.35">
      <c r="C50" s="24">
        <v>706002</v>
      </c>
      <c r="D50" s="24" t="s">
        <v>21</v>
      </c>
      <c r="E50" s="30"/>
      <c r="F50" s="30">
        <f>2509.8/1.2</f>
        <v>2091.5000000000005</v>
      </c>
    </row>
    <row r="51" spans="1:6" x14ac:dyDescent="0.35">
      <c r="C51" s="24">
        <v>445711</v>
      </c>
      <c r="D51" s="24" t="s">
        <v>22</v>
      </c>
      <c r="E51" s="30"/>
      <c r="F51" s="30">
        <f>+F49*0.1</f>
        <v>47.236363636363642</v>
      </c>
    </row>
    <row r="52" spans="1:6" x14ac:dyDescent="0.35">
      <c r="C52" s="24">
        <v>445712</v>
      </c>
      <c r="D52" s="24" t="s">
        <v>23</v>
      </c>
      <c r="E52" s="30"/>
      <c r="F52" s="34">
        <f>+F50*0.2</f>
        <v>418.30000000000013</v>
      </c>
    </row>
    <row r="53" spans="1:6" x14ac:dyDescent="0.35">
      <c r="B53" s="24">
        <v>530000</v>
      </c>
      <c r="C53" s="24" t="s">
        <v>24</v>
      </c>
      <c r="E53" s="30">
        <v>685.5</v>
      </c>
      <c r="F53" s="34"/>
    </row>
    <row r="54" spans="1:6" x14ac:dyDescent="0.35">
      <c r="A54" s="24" t="s">
        <v>158</v>
      </c>
      <c r="B54" s="24">
        <v>512001</v>
      </c>
      <c r="C54" s="24" t="s">
        <v>25</v>
      </c>
      <c r="E54" s="30">
        <v>820</v>
      </c>
      <c r="F54" s="34"/>
    </row>
    <row r="55" spans="1:6" x14ac:dyDescent="0.35">
      <c r="A55" s="24" t="s">
        <v>159</v>
      </c>
      <c r="B55" s="24">
        <v>512001</v>
      </c>
      <c r="C55" s="24" t="s">
        <v>26</v>
      </c>
      <c r="E55" s="30">
        <v>1523.9</v>
      </c>
      <c r="F55" s="34"/>
    </row>
    <row r="56" spans="1:6" x14ac:dyDescent="0.35">
      <c r="A56" s="24" t="s">
        <v>27</v>
      </c>
    </row>
    <row r="58" spans="1:6" x14ac:dyDescent="0.35">
      <c r="A58" s="32" t="s">
        <v>157</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topLeftCell="A4" zoomScale="95" workbookViewId="0">
      <selection activeCell="F5" sqref="F5"/>
    </sheetView>
  </sheetViews>
  <sheetFormatPr baseColWidth="10" defaultRowHeight="14.5" x14ac:dyDescent="0.35"/>
  <sheetData>
    <row r="1" spans="1:2" x14ac:dyDescent="0.35">
      <c r="A1" t="s">
        <v>28</v>
      </c>
    </row>
    <row r="2" spans="1:2" x14ac:dyDescent="0.35">
      <c r="A2" t="s">
        <v>29</v>
      </c>
    </row>
    <row r="4" spans="1:2" x14ac:dyDescent="0.35">
      <c r="B4" t="s">
        <v>160</v>
      </c>
    </row>
    <row r="5" spans="1:2" x14ac:dyDescent="0.35">
      <c r="B5" t="s">
        <v>161</v>
      </c>
    </row>
    <row r="6" spans="1:2" x14ac:dyDescent="0.35">
      <c r="B6" t="s">
        <v>162</v>
      </c>
    </row>
    <row r="7" spans="1:2" x14ac:dyDescent="0.35">
      <c r="B7" t="s">
        <v>163</v>
      </c>
    </row>
    <row r="8" spans="1:2" x14ac:dyDescent="0.35">
      <c r="B8" t="s">
        <v>164</v>
      </c>
    </row>
    <row r="9" spans="1:2" x14ac:dyDescent="0.35">
      <c r="B9" t="s">
        <v>165</v>
      </c>
    </row>
    <row r="12" spans="1:2" x14ac:dyDescent="0.35">
      <c r="A12" t="s">
        <v>30</v>
      </c>
    </row>
    <row r="14" spans="1:2" x14ac:dyDescent="0.35">
      <c r="B14" t="s">
        <v>207</v>
      </c>
    </row>
    <row r="15" spans="1:2" x14ac:dyDescent="0.35">
      <c r="B15" t="s">
        <v>31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63"/>
  <sheetViews>
    <sheetView topLeftCell="A41" zoomScale="90" workbookViewId="0">
      <selection activeCell="D50" sqref="D50"/>
    </sheetView>
  </sheetViews>
  <sheetFormatPr baseColWidth="10" defaultRowHeight="14.5" x14ac:dyDescent="0.35"/>
  <cols>
    <col min="2" max="2" width="16.1796875" customWidth="1"/>
    <col min="3" max="3" width="15.36328125" bestFit="1" customWidth="1"/>
    <col min="4" max="4" width="11.36328125" bestFit="1" customWidth="1"/>
  </cols>
  <sheetData>
    <row r="2" spans="1:2" x14ac:dyDescent="0.35">
      <c r="A2" t="s">
        <v>32</v>
      </c>
    </row>
    <row r="3" spans="1:2" x14ac:dyDescent="0.35">
      <c r="B3" t="s">
        <v>33</v>
      </c>
    </row>
    <row r="4" spans="1:2" x14ac:dyDescent="0.35">
      <c r="B4" t="s">
        <v>34</v>
      </c>
    </row>
    <row r="15" spans="1:2" x14ac:dyDescent="0.35">
      <c r="B15" s="14" t="s">
        <v>58</v>
      </c>
    </row>
    <row r="18" spans="2:9" x14ac:dyDescent="0.35">
      <c r="B18" s="8"/>
      <c r="C18" s="8" t="s">
        <v>40</v>
      </c>
      <c r="D18" s="9" t="s">
        <v>41</v>
      </c>
      <c r="E18" s="8" t="s">
        <v>42</v>
      </c>
      <c r="F18" s="8" t="s">
        <v>43</v>
      </c>
    </row>
    <row r="19" spans="2:9" x14ac:dyDescent="0.35">
      <c r="B19" s="8" t="s">
        <v>35</v>
      </c>
      <c r="C19" s="8">
        <f>8+9+10+9+8</f>
        <v>44</v>
      </c>
      <c r="D19" s="8">
        <f>+C19-35</f>
        <v>9</v>
      </c>
      <c r="E19" s="8">
        <v>8</v>
      </c>
      <c r="F19" s="8">
        <v>1</v>
      </c>
    </row>
    <row r="20" spans="2:9" x14ac:dyDescent="0.35">
      <c r="B20" s="8" t="s">
        <v>36</v>
      </c>
      <c r="C20" s="8">
        <f>8+8+9+9+8</f>
        <v>42</v>
      </c>
      <c r="D20" s="8">
        <f t="shared" ref="D20:D23" si="0">+C20-35</f>
        <v>7</v>
      </c>
      <c r="E20" s="8">
        <v>7</v>
      </c>
      <c r="F20" s="8"/>
    </row>
    <row r="21" spans="2:9" x14ac:dyDescent="0.35">
      <c r="B21" s="8" t="s">
        <v>37</v>
      </c>
      <c r="C21" s="8">
        <f>7+7+8+9+9</f>
        <v>40</v>
      </c>
      <c r="D21" s="8">
        <f t="shared" si="0"/>
        <v>5</v>
      </c>
      <c r="E21" s="8">
        <v>5</v>
      </c>
      <c r="F21" s="8"/>
    </row>
    <row r="22" spans="2:9" x14ac:dyDescent="0.35">
      <c r="B22" s="8" t="s">
        <v>38</v>
      </c>
      <c r="C22" s="8">
        <f>8+8+9+10+10</f>
        <v>45</v>
      </c>
      <c r="D22" s="8">
        <f t="shared" si="0"/>
        <v>10</v>
      </c>
      <c r="E22" s="8">
        <v>8</v>
      </c>
      <c r="F22" s="8">
        <v>2</v>
      </c>
    </row>
    <row r="23" spans="2:9" x14ac:dyDescent="0.35">
      <c r="B23" s="8" t="s">
        <v>39</v>
      </c>
      <c r="C23" s="8">
        <f>7*5</f>
        <v>35</v>
      </c>
      <c r="D23" s="8">
        <f t="shared" si="0"/>
        <v>0</v>
      </c>
      <c r="E23" s="8">
        <v>0</v>
      </c>
      <c r="F23" s="8">
        <v>0</v>
      </c>
    </row>
    <row r="24" spans="2:9" x14ac:dyDescent="0.35">
      <c r="D24" s="10" t="s">
        <v>44</v>
      </c>
      <c r="E24" s="10">
        <f>SUM(E19:E23)</f>
        <v>28</v>
      </c>
      <c r="F24" s="10">
        <f>SUM(F19:F23)</f>
        <v>3</v>
      </c>
    </row>
    <row r="27" spans="2:9" x14ac:dyDescent="0.35">
      <c r="B27" s="14" t="s">
        <v>57</v>
      </c>
    </row>
    <row r="29" spans="2:9" x14ac:dyDescent="0.35">
      <c r="B29" t="s">
        <v>46</v>
      </c>
      <c r="D29">
        <f>2225</f>
        <v>2225</v>
      </c>
      <c r="F29" t="s">
        <v>47</v>
      </c>
      <c r="I29">
        <f>+D29/151.67</f>
        <v>14.670007252587856</v>
      </c>
    </row>
    <row r="30" spans="2:9" x14ac:dyDescent="0.35">
      <c r="B30" t="s">
        <v>48</v>
      </c>
      <c r="D30">
        <f>14.67*1.25</f>
        <v>18.337499999999999</v>
      </c>
      <c r="F30" t="s">
        <v>50</v>
      </c>
    </row>
    <row r="31" spans="2:9" x14ac:dyDescent="0.35">
      <c r="B31" t="s">
        <v>49</v>
      </c>
      <c r="D31">
        <f>14.67*1.5</f>
        <v>22.004999999999999</v>
      </c>
      <c r="F31" t="s">
        <v>51</v>
      </c>
    </row>
    <row r="34" spans="2:8" x14ac:dyDescent="0.35">
      <c r="C34" s="8" t="s">
        <v>52</v>
      </c>
      <c r="D34" s="8" t="s">
        <v>53</v>
      </c>
      <c r="E34" s="8" t="s">
        <v>44</v>
      </c>
      <c r="H34" t="s">
        <v>202</v>
      </c>
    </row>
    <row r="35" spans="2:8" x14ac:dyDescent="0.35">
      <c r="B35" s="8" t="s">
        <v>45</v>
      </c>
      <c r="C35" s="8">
        <v>151.66999999999999</v>
      </c>
      <c r="D35" s="12">
        <v>14.67</v>
      </c>
      <c r="E35" s="12">
        <f>C35*D35</f>
        <v>2224.9988999999996</v>
      </c>
    </row>
    <row r="36" spans="2:8" x14ac:dyDescent="0.35">
      <c r="B36" s="8" t="s">
        <v>54</v>
      </c>
      <c r="C36" s="8">
        <v>28</v>
      </c>
      <c r="D36" s="12">
        <v>18.34</v>
      </c>
      <c r="E36" s="12">
        <f>+C36*D36</f>
        <v>513.52</v>
      </c>
    </row>
    <row r="37" spans="2:8" x14ac:dyDescent="0.35">
      <c r="B37" s="8" t="s">
        <v>55</v>
      </c>
      <c r="C37" s="8">
        <v>3</v>
      </c>
      <c r="D37" s="12">
        <v>22</v>
      </c>
      <c r="E37" s="12">
        <f>+D37*C37</f>
        <v>66</v>
      </c>
    </row>
    <row r="38" spans="2:8" x14ac:dyDescent="0.35">
      <c r="B38" s="8" t="s">
        <v>56</v>
      </c>
      <c r="C38" s="8"/>
      <c r="D38" s="8"/>
      <c r="E38" s="13">
        <f>E37+E36+E35</f>
        <v>2804.5188999999996</v>
      </c>
    </row>
    <row r="41" spans="2:8" x14ac:dyDescent="0.35">
      <c r="B41" s="14" t="s">
        <v>59</v>
      </c>
      <c r="D41" s="21" t="s">
        <v>203</v>
      </c>
    </row>
    <row r="43" spans="2:8" x14ac:dyDescent="0.35">
      <c r="B43" t="s">
        <v>60</v>
      </c>
    </row>
    <row r="44" spans="2:8" x14ac:dyDescent="0.35">
      <c r="B44" t="s">
        <v>61</v>
      </c>
    </row>
    <row r="45" spans="2:8" x14ac:dyDescent="0.35">
      <c r="B45" s="14" t="s">
        <v>44</v>
      </c>
      <c r="C45" s="14">
        <f>132+31</f>
        <v>163</v>
      </c>
    </row>
    <row r="47" spans="2:8" x14ac:dyDescent="0.35">
      <c r="B47" t="s">
        <v>204</v>
      </c>
    </row>
    <row r="48" spans="2:8" x14ac:dyDescent="0.35">
      <c r="B48" t="s">
        <v>62</v>
      </c>
    </row>
    <row r="49" spans="2:2" x14ac:dyDescent="0.35">
      <c r="B49" t="s">
        <v>205</v>
      </c>
    </row>
    <row r="52" spans="2:2" x14ac:dyDescent="0.35">
      <c r="B52" s="14" t="s">
        <v>208</v>
      </c>
    </row>
    <row r="54" spans="2:2" x14ac:dyDescent="0.35">
      <c r="B54" t="s">
        <v>209</v>
      </c>
    </row>
    <row r="55" spans="2:2" x14ac:dyDescent="0.35">
      <c r="B55" t="s">
        <v>210</v>
      </c>
    </row>
    <row r="56" spans="2:2" x14ac:dyDescent="0.35">
      <c r="B56" t="s">
        <v>211</v>
      </c>
    </row>
    <row r="59" spans="2:2" x14ac:dyDescent="0.35">
      <c r="B59" t="s">
        <v>212</v>
      </c>
    </row>
    <row r="61" spans="2:2" x14ac:dyDescent="0.35">
      <c r="B61" t="s">
        <v>213</v>
      </c>
    </row>
    <row r="63" spans="2:2" x14ac:dyDescent="0.35">
      <c r="B63" t="s">
        <v>214</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41"/>
  <sheetViews>
    <sheetView topLeftCell="A12" zoomScale="76" workbookViewId="0">
      <selection activeCell="E24" sqref="E24"/>
    </sheetView>
  </sheetViews>
  <sheetFormatPr baseColWidth="10" defaultRowHeight="14.5" x14ac:dyDescent="0.35"/>
  <cols>
    <col min="2" max="2" width="14.90625" bestFit="1" customWidth="1"/>
    <col min="4" max="4" width="14.1796875" bestFit="1" customWidth="1"/>
  </cols>
  <sheetData>
    <row r="2" spans="1:4" x14ac:dyDescent="0.35">
      <c r="A2" t="s">
        <v>63</v>
      </c>
    </row>
    <row r="15" spans="1:4" x14ac:dyDescent="0.35">
      <c r="C15" t="s">
        <v>64</v>
      </c>
    </row>
    <row r="16" spans="1:4" x14ac:dyDescent="0.35">
      <c r="B16" t="s">
        <v>65</v>
      </c>
      <c r="C16">
        <v>151.66999999999999</v>
      </c>
      <c r="D16" t="s">
        <v>66</v>
      </c>
    </row>
    <row r="17" spans="2:5" x14ac:dyDescent="0.35">
      <c r="B17" t="s">
        <v>67</v>
      </c>
      <c r="C17">
        <v>13.85</v>
      </c>
      <c r="D17" t="s">
        <v>68</v>
      </c>
    </row>
    <row r="18" spans="2:5" x14ac:dyDescent="0.35">
      <c r="B18" t="s">
        <v>69</v>
      </c>
      <c r="C18" s="16">
        <v>2100</v>
      </c>
      <c r="D18" t="s">
        <v>71</v>
      </c>
    </row>
    <row r="19" spans="2:5" x14ac:dyDescent="0.35">
      <c r="B19" t="s">
        <v>70</v>
      </c>
      <c r="C19">
        <v>64.400000000000006</v>
      </c>
      <c r="D19" t="s">
        <v>71</v>
      </c>
    </row>
    <row r="20" spans="2:5" x14ac:dyDescent="0.35">
      <c r="B20" t="s">
        <v>72</v>
      </c>
      <c r="C20">
        <v>0</v>
      </c>
      <c r="D20" t="s">
        <v>73</v>
      </c>
    </row>
    <row r="21" spans="2:5" x14ac:dyDescent="0.35">
      <c r="D21" t="s">
        <v>74</v>
      </c>
    </row>
    <row r="22" spans="2:5" x14ac:dyDescent="0.35">
      <c r="B22" t="s">
        <v>75</v>
      </c>
      <c r="C22">
        <v>477.27</v>
      </c>
      <c r="D22" t="s">
        <v>76</v>
      </c>
    </row>
    <row r="23" spans="2:5" x14ac:dyDescent="0.35">
      <c r="D23" t="s">
        <v>77</v>
      </c>
      <c r="E23" t="s">
        <v>224</v>
      </c>
    </row>
    <row r="24" spans="2:5" x14ac:dyDescent="0.35">
      <c r="E24" t="s">
        <v>78</v>
      </c>
    </row>
    <row r="25" spans="2:5" x14ac:dyDescent="0.35">
      <c r="E25" t="s">
        <v>79</v>
      </c>
    </row>
    <row r="26" spans="2:5" x14ac:dyDescent="0.35">
      <c r="E26" t="s">
        <v>80</v>
      </c>
    </row>
    <row r="29" spans="2:5" x14ac:dyDescent="0.35">
      <c r="B29" t="s">
        <v>81</v>
      </c>
    </row>
    <row r="30" spans="2:5" x14ac:dyDescent="0.35">
      <c r="C30" t="s">
        <v>83</v>
      </c>
      <c r="D30" s="7" t="s">
        <v>85</v>
      </c>
    </row>
    <row r="31" spans="2:5" x14ac:dyDescent="0.35">
      <c r="C31" t="s">
        <v>82</v>
      </c>
      <c r="D31" s="7" t="s">
        <v>84</v>
      </c>
    </row>
    <row r="33" spans="2:5" x14ac:dyDescent="0.35">
      <c r="C33" t="s">
        <v>44</v>
      </c>
      <c r="D33">
        <f>(2164.4+1687.13)*10%</f>
        <v>385.15300000000002</v>
      </c>
      <c r="E33" t="s">
        <v>86</v>
      </c>
    </row>
    <row r="36" spans="2:5" x14ac:dyDescent="0.35">
      <c r="B36" t="s">
        <v>89</v>
      </c>
      <c r="C36" t="s">
        <v>87</v>
      </c>
    </row>
    <row r="38" spans="2:5" x14ac:dyDescent="0.35">
      <c r="C38" t="s">
        <v>88</v>
      </c>
    </row>
    <row r="41" spans="2:5" x14ac:dyDescent="0.35">
      <c r="B41" t="s">
        <v>90</v>
      </c>
      <c r="C41" t="s">
        <v>91</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51"/>
  <sheetViews>
    <sheetView topLeftCell="A28" zoomScale="77" workbookViewId="0">
      <selection activeCell="A2" sqref="A2:A5"/>
    </sheetView>
  </sheetViews>
  <sheetFormatPr baseColWidth="10" defaultRowHeight="14.5" x14ac:dyDescent="0.35"/>
  <sheetData>
    <row r="2" spans="1:11" x14ac:dyDescent="0.35">
      <c r="A2" s="22" t="s">
        <v>92</v>
      </c>
      <c r="B2" s="22"/>
      <c r="C2" s="22"/>
      <c r="D2" s="22"/>
      <c r="E2" s="22"/>
      <c r="F2" s="22"/>
      <c r="G2" s="22"/>
      <c r="H2" s="22"/>
      <c r="I2" s="22"/>
      <c r="J2" s="22"/>
      <c r="K2" s="22"/>
    </row>
    <row r="3" spans="1:11" x14ac:dyDescent="0.35">
      <c r="A3" s="22" t="s">
        <v>93</v>
      </c>
      <c r="B3" s="22"/>
      <c r="C3" s="22"/>
      <c r="D3" s="22"/>
      <c r="E3" s="22"/>
      <c r="F3" s="22"/>
      <c r="G3" s="22"/>
      <c r="H3" s="22"/>
      <c r="I3" s="22"/>
      <c r="J3" s="22"/>
      <c r="K3" s="22"/>
    </row>
    <row r="4" spans="1:11" x14ac:dyDescent="0.35">
      <c r="A4" s="22" t="s">
        <v>94</v>
      </c>
      <c r="B4" s="22"/>
      <c r="C4" s="22"/>
      <c r="D4" s="22"/>
      <c r="E4" s="22"/>
      <c r="F4" s="22"/>
      <c r="G4" s="22"/>
      <c r="H4" s="22"/>
      <c r="I4" s="22" t="s">
        <v>156</v>
      </c>
      <c r="J4" s="22"/>
      <c r="K4" s="22"/>
    </row>
    <row r="5" spans="1:11" x14ac:dyDescent="0.35">
      <c r="A5" s="22" t="s">
        <v>95</v>
      </c>
      <c r="B5" s="22"/>
      <c r="C5" s="22"/>
      <c r="D5" s="22"/>
      <c r="E5" s="22"/>
      <c r="F5" s="22"/>
      <c r="G5" s="22"/>
      <c r="H5" s="22"/>
      <c r="I5" s="22"/>
      <c r="J5" s="22"/>
      <c r="K5" s="22"/>
    </row>
    <row r="7" spans="1:11" x14ac:dyDescent="0.35">
      <c r="A7" s="15" t="s">
        <v>96</v>
      </c>
    </row>
    <row r="10" spans="1:11" x14ac:dyDescent="0.35">
      <c r="A10" t="s">
        <v>97</v>
      </c>
    </row>
    <row r="12" spans="1:11" x14ac:dyDescent="0.35">
      <c r="A12" t="s">
        <v>215</v>
      </c>
    </row>
    <row r="14" spans="1:11" x14ac:dyDescent="0.35">
      <c r="A14" s="1"/>
      <c r="B14" s="1"/>
      <c r="C14" s="1"/>
      <c r="D14" s="2" t="s">
        <v>99</v>
      </c>
      <c r="E14" s="3" t="s">
        <v>100</v>
      </c>
      <c r="F14" s="3"/>
    </row>
    <row r="15" spans="1:11" x14ac:dyDescent="0.35">
      <c r="A15" t="s">
        <v>98</v>
      </c>
      <c r="E15" s="37" t="s">
        <v>220</v>
      </c>
      <c r="F15" s="37" t="s">
        <v>221</v>
      </c>
    </row>
    <row r="16" spans="1:11" x14ac:dyDescent="0.35">
      <c r="E16" s="4"/>
      <c r="F16" s="4"/>
    </row>
    <row r="17" spans="1:13" x14ac:dyDescent="0.35">
      <c r="B17">
        <v>622800</v>
      </c>
      <c r="C17" t="s">
        <v>101</v>
      </c>
      <c r="E17" s="4">
        <v>3000</v>
      </c>
      <c r="F17" s="4"/>
    </row>
    <row r="18" spans="1:13" x14ac:dyDescent="0.35">
      <c r="C18">
        <v>215410</v>
      </c>
      <c r="D18" t="s">
        <v>102</v>
      </c>
      <c r="E18" s="4"/>
      <c r="F18" s="4">
        <v>3000</v>
      </c>
    </row>
    <row r="19" spans="1:13" x14ac:dyDescent="0.35">
      <c r="B19">
        <v>445660</v>
      </c>
      <c r="C19" t="s">
        <v>103</v>
      </c>
      <c r="E19" s="4">
        <f>+E17*20%</f>
        <v>600</v>
      </c>
      <c r="F19" s="4">
        <f>+E18</f>
        <v>0</v>
      </c>
    </row>
    <row r="20" spans="1:13" x14ac:dyDescent="0.35">
      <c r="C20">
        <v>44562</v>
      </c>
      <c r="D20" t="s">
        <v>104</v>
      </c>
      <c r="E20" s="4"/>
      <c r="F20" s="4">
        <f>E19</f>
        <v>600</v>
      </c>
    </row>
    <row r="22" spans="1:13" x14ac:dyDescent="0.35">
      <c r="A22" t="s">
        <v>105</v>
      </c>
    </row>
    <row r="24" spans="1:13" x14ac:dyDescent="0.35">
      <c r="A24" s="14" t="s">
        <v>201</v>
      </c>
    </row>
    <row r="26" spans="1:13" x14ac:dyDescent="0.35">
      <c r="A26" t="s">
        <v>106</v>
      </c>
    </row>
    <row r="28" spans="1:13" x14ac:dyDescent="0.35">
      <c r="A28" s="18" t="s">
        <v>107</v>
      </c>
    </row>
    <row r="30" spans="1:13" x14ac:dyDescent="0.35">
      <c r="A30" t="s">
        <v>109</v>
      </c>
      <c r="M30" s="15" t="s">
        <v>198</v>
      </c>
    </row>
    <row r="31" spans="1:13" x14ac:dyDescent="0.35">
      <c r="A31" t="s">
        <v>108</v>
      </c>
    </row>
    <row r="33" spans="1:13" x14ac:dyDescent="0.35">
      <c r="A33" s="18" t="s">
        <v>110</v>
      </c>
    </row>
    <row r="35" spans="1:13" x14ac:dyDescent="0.35">
      <c r="A35" t="s">
        <v>111</v>
      </c>
    </row>
    <row r="37" spans="1:13" x14ac:dyDescent="0.35">
      <c r="A37" t="s">
        <v>112</v>
      </c>
    </row>
    <row r="38" spans="1:13" x14ac:dyDescent="0.35">
      <c r="A38" t="s">
        <v>113</v>
      </c>
    </row>
    <row r="39" spans="1:13" x14ac:dyDescent="0.35">
      <c r="A39" s="7" t="s">
        <v>114</v>
      </c>
    </row>
    <row r="41" spans="1:13" x14ac:dyDescent="0.35">
      <c r="A41" s="1"/>
      <c r="B41" s="1"/>
      <c r="C41" s="1"/>
      <c r="D41" s="2" t="s">
        <v>99</v>
      </c>
      <c r="E41" s="3" t="s">
        <v>100</v>
      </c>
      <c r="F41" s="3"/>
    </row>
    <row r="42" spans="1:13" x14ac:dyDescent="0.35">
      <c r="A42" t="s">
        <v>98</v>
      </c>
      <c r="E42" s="37" t="s">
        <v>220</v>
      </c>
      <c r="F42" s="37" t="s">
        <v>221</v>
      </c>
    </row>
    <row r="43" spans="1:13" x14ac:dyDescent="0.35">
      <c r="B43">
        <v>281541</v>
      </c>
      <c r="C43" t="s">
        <v>115</v>
      </c>
      <c r="E43" s="4">
        <v>33.33</v>
      </c>
      <c r="F43" s="4"/>
    </row>
    <row r="44" spans="1:13" x14ac:dyDescent="0.35">
      <c r="C44" t="s">
        <v>116</v>
      </c>
      <c r="E44" s="4"/>
      <c r="F44" s="4">
        <f>+E43</f>
        <v>33.33</v>
      </c>
      <c r="H44" t="s">
        <v>199</v>
      </c>
    </row>
    <row r="45" spans="1:13" x14ac:dyDescent="0.35">
      <c r="E45" s="4"/>
      <c r="F45" s="4"/>
      <c r="H45" t="s">
        <v>200</v>
      </c>
      <c r="M45" s="22" t="s">
        <v>156</v>
      </c>
    </row>
    <row r="46" spans="1:13" x14ac:dyDescent="0.35">
      <c r="B46">
        <v>145000</v>
      </c>
      <c r="C46" t="s">
        <v>117</v>
      </c>
      <c r="E46" s="4">
        <f>79.17</f>
        <v>79.17</v>
      </c>
      <c r="F46" s="4"/>
    </row>
    <row r="47" spans="1:13" x14ac:dyDescent="0.35">
      <c r="C47">
        <v>687250</v>
      </c>
      <c r="D47" t="s">
        <v>118</v>
      </c>
      <c r="E47" s="4"/>
      <c r="F47" s="4">
        <f>+E46</f>
        <v>79.17</v>
      </c>
    </row>
    <row r="49" spans="1:6" x14ac:dyDescent="0.35">
      <c r="A49" t="s">
        <v>119</v>
      </c>
    </row>
    <row r="51" spans="1:6" x14ac:dyDescent="0.35">
      <c r="A51" s="14" t="s">
        <v>197</v>
      </c>
      <c r="E51" s="5"/>
      <c r="F51" s="5"/>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5:M67"/>
  <sheetViews>
    <sheetView topLeftCell="A63" zoomScale="80" workbookViewId="0">
      <selection activeCell="A53" sqref="A53"/>
    </sheetView>
  </sheetViews>
  <sheetFormatPr baseColWidth="10" defaultRowHeight="14.5" x14ac:dyDescent="0.35"/>
  <cols>
    <col min="6" max="7" width="12.90625" bestFit="1" customWidth="1"/>
  </cols>
  <sheetData>
    <row r="15" spans="2:7" x14ac:dyDescent="0.35">
      <c r="B15" s="1"/>
      <c r="C15" s="1"/>
      <c r="D15" s="1"/>
      <c r="E15" s="23" t="s">
        <v>120</v>
      </c>
      <c r="F15" s="3"/>
      <c r="G15" s="3"/>
    </row>
    <row r="16" spans="2:7" x14ac:dyDescent="0.35">
      <c r="B16" t="s">
        <v>121</v>
      </c>
      <c r="F16" s="36" t="s">
        <v>220</v>
      </c>
      <c r="G16" s="36" t="s">
        <v>221</v>
      </c>
    </row>
    <row r="17" spans="1:10" x14ac:dyDescent="0.35">
      <c r="D17">
        <v>164000</v>
      </c>
      <c r="E17" t="s">
        <v>122</v>
      </c>
      <c r="F17" s="4"/>
      <c r="G17" s="4">
        <v>180000</v>
      </c>
      <c r="J17" s="22" t="s">
        <v>183</v>
      </c>
    </row>
    <row r="18" spans="1:10" x14ac:dyDescent="0.35">
      <c r="C18">
        <v>627000</v>
      </c>
      <c r="D18" t="s">
        <v>123</v>
      </c>
      <c r="F18" s="4">
        <v>400</v>
      </c>
      <c r="G18" s="4"/>
      <c r="J18" s="22" t="s">
        <v>184</v>
      </c>
    </row>
    <row r="19" spans="1:10" x14ac:dyDescent="0.35">
      <c r="C19">
        <v>445660</v>
      </c>
      <c r="D19" t="s">
        <v>2</v>
      </c>
      <c r="F19" s="4">
        <v>80</v>
      </c>
      <c r="G19" s="4"/>
      <c r="J19" s="22" t="s">
        <v>185</v>
      </c>
    </row>
    <row r="20" spans="1:10" x14ac:dyDescent="0.35">
      <c r="C20">
        <v>512000</v>
      </c>
      <c r="D20" t="s">
        <v>124</v>
      </c>
      <c r="F20" s="4">
        <f>G17-F18-F19</f>
        <v>179520</v>
      </c>
      <c r="G20" s="4"/>
      <c r="J20" s="22" t="s">
        <v>156</v>
      </c>
    </row>
    <row r="21" spans="1:10" x14ac:dyDescent="0.35">
      <c r="F21" s="4"/>
      <c r="G21" s="4"/>
    </row>
    <row r="22" spans="1:10" x14ac:dyDescent="0.35">
      <c r="B22" t="s">
        <v>182</v>
      </c>
    </row>
    <row r="24" spans="1:10" x14ac:dyDescent="0.35">
      <c r="A24" s="14" t="s">
        <v>181</v>
      </c>
    </row>
    <row r="36" spans="2:13" x14ac:dyDescent="0.35">
      <c r="K36" s="22" t="s">
        <v>191</v>
      </c>
      <c r="L36" s="22"/>
      <c r="M36" s="22"/>
    </row>
    <row r="37" spans="2:13" x14ac:dyDescent="0.35">
      <c r="K37" s="22"/>
      <c r="L37" s="22"/>
      <c r="M37" s="22"/>
    </row>
    <row r="38" spans="2:13" x14ac:dyDescent="0.35">
      <c r="K38" s="22" t="s">
        <v>187</v>
      </c>
      <c r="L38" s="22"/>
      <c r="M38" s="22"/>
    </row>
    <row r="39" spans="2:13" x14ac:dyDescent="0.35">
      <c r="K39" s="22" t="s">
        <v>192</v>
      </c>
      <c r="L39" s="22"/>
      <c r="M39" s="22"/>
    </row>
    <row r="40" spans="2:13" x14ac:dyDescent="0.35">
      <c r="K40" s="22" t="s">
        <v>188</v>
      </c>
      <c r="L40" s="22"/>
      <c r="M40" s="22"/>
    </row>
    <row r="41" spans="2:13" x14ac:dyDescent="0.35">
      <c r="K41" s="22" t="s">
        <v>189</v>
      </c>
      <c r="L41" s="22"/>
      <c r="M41" s="22"/>
    </row>
    <row r="42" spans="2:13" x14ac:dyDescent="0.35">
      <c r="K42" s="22" t="s">
        <v>190</v>
      </c>
      <c r="L42" s="22"/>
      <c r="M42" s="22"/>
    </row>
    <row r="43" spans="2:13" x14ac:dyDescent="0.35">
      <c r="B43" s="1"/>
      <c r="C43" s="1"/>
      <c r="D43" s="1"/>
      <c r="E43" s="23" t="s">
        <v>120</v>
      </c>
      <c r="F43" s="3"/>
      <c r="G43" s="3"/>
      <c r="K43" s="22"/>
      <c r="L43" s="22"/>
      <c r="M43" s="22"/>
    </row>
    <row r="44" spans="2:13" x14ac:dyDescent="0.35">
      <c r="B44" t="s">
        <v>98</v>
      </c>
      <c r="F44" s="36" t="s">
        <v>220</v>
      </c>
      <c r="G44" s="36" t="s">
        <v>221</v>
      </c>
      <c r="K44" s="22" t="s">
        <v>156</v>
      </c>
      <c r="L44" s="22"/>
      <c r="M44" s="22"/>
    </row>
    <row r="45" spans="2:13" x14ac:dyDescent="0.35">
      <c r="B45">
        <v>456210</v>
      </c>
      <c r="C45" t="s">
        <v>128</v>
      </c>
      <c r="F45" s="4">
        <v>50000</v>
      </c>
      <c r="G45" s="4"/>
    </row>
    <row r="46" spans="2:13" x14ac:dyDescent="0.35">
      <c r="C46">
        <v>109</v>
      </c>
      <c r="D46" t="s">
        <v>125</v>
      </c>
      <c r="F46" s="4"/>
      <c r="G46" s="4">
        <f>+F45</f>
        <v>50000</v>
      </c>
    </row>
    <row r="47" spans="2:13" x14ac:dyDescent="0.35">
      <c r="B47">
        <v>101100</v>
      </c>
      <c r="C47" t="s">
        <v>126</v>
      </c>
      <c r="F47" s="4">
        <f>F45</f>
        <v>50000</v>
      </c>
      <c r="G47" s="4"/>
    </row>
    <row r="48" spans="2:13" x14ac:dyDescent="0.35">
      <c r="C48">
        <v>101200</v>
      </c>
      <c r="D48" t="s">
        <v>129</v>
      </c>
      <c r="F48" s="4"/>
      <c r="G48" s="4">
        <f>F47</f>
        <v>50000</v>
      </c>
    </row>
    <row r="49" spans="1:7" x14ac:dyDescent="0.35">
      <c r="F49" s="4"/>
      <c r="G49" s="4"/>
    </row>
    <row r="50" spans="1:7" x14ac:dyDescent="0.35">
      <c r="B50" t="s">
        <v>127</v>
      </c>
    </row>
    <row r="53" spans="1:7" x14ac:dyDescent="0.35">
      <c r="A53" s="14" t="s">
        <v>186</v>
      </c>
    </row>
    <row r="55" spans="1:7" x14ac:dyDescent="0.35">
      <c r="B55" t="s">
        <v>193</v>
      </c>
    </row>
    <row r="57" spans="1:7" x14ac:dyDescent="0.35">
      <c r="B57" s="1"/>
      <c r="C57" s="1"/>
      <c r="D57" s="1"/>
      <c r="E57" s="2" t="s">
        <v>194</v>
      </c>
      <c r="F57" s="3"/>
      <c r="G57" s="3"/>
    </row>
    <row r="58" spans="1:7" x14ac:dyDescent="0.35">
      <c r="B58" t="s">
        <v>98</v>
      </c>
      <c r="F58" s="36" t="s">
        <v>220</v>
      </c>
      <c r="G58" s="36" t="s">
        <v>221</v>
      </c>
    </row>
    <row r="59" spans="1:7" x14ac:dyDescent="0.35">
      <c r="F59" s="6"/>
      <c r="G59" s="4"/>
    </row>
    <row r="60" spans="1:7" x14ac:dyDescent="0.35">
      <c r="B60" t="s">
        <v>223</v>
      </c>
      <c r="F60" s="6">
        <v>50000</v>
      </c>
      <c r="G60" s="4"/>
    </row>
    <row r="61" spans="1:7" x14ac:dyDescent="0.35">
      <c r="C61">
        <v>456210</v>
      </c>
      <c r="D61" t="s">
        <v>128</v>
      </c>
      <c r="F61" s="20"/>
      <c r="G61" s="4">
        <v>50000</v>
      </c>
    </row>
    <row r="62" spans="1:7" x14ac:dyDescent="0.35">
      <c r="B62">
        <v>512000</v>
      </c>
      <c r="C62" t="s">
        <v>124</v>
      </c>
      <c r="F62" s="6">
        <f>G63</f>
        <v>50000</v>
      </c>
      <c r="G62" s="4"/>
    </row>
    <row r="63" spans="1:7" x14ac:dyDescent="0.35">
      <c r="C63" t="s">
        <v>223</v>
      </c>
      <c r="F63" s="20"/>
      <c r="G63" s="4">
        <v>50000</v>
      </c>
    </row>
    <row r="64" spans="1:7" x14ac:dyDescent="0.35">
      <c r="B64">
        <v>101200</v>
      </c>
      <c r="C64" t="s">
        <v>129</v>
      </c>
      <c r="E64" s="19"/>
      <c r="F64" s="6">
        <f>F62</f>
        <v>50000</v>
      </c>
      <c r="G64" s="4"/>
    </row>
    <row r="65" spans="2:7" x14ac:dyDescent="0.35">
      <c r="C65">
        <v>101000</v>
      </c>
      <c r="D65" t="s">
        <v>195</v>
      </c>
      <c r="F65" s="6"/>
      <c r="G65" s="4">
        <f>F64</f>
        <v>50000</v>
      </c>
    </row>
    <row r="66" spans="2:7" x14ac:dyDescent="0.35">
      <c r="F66" s="6"/>
      <c r="G66" s="4"/>
    </row>
    <row r="67" spans="2:7" x14ac:dyDescent="0.35">
      <c r="B67" t="s">
        <v>196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2:Q70"/>
  <sheetViews>
    <sheetView zoomScale="87" workbookViewId="0">
      <selection activeCell="I13" sqref="I13:I16"/>
    </sheetView>
  </sheetViews>
  <sheetFormatPr baseColWidth="10" defaultRowHeight="14.5" x14ac:dyDescent="0.35"/>
  <cols>
    <col min="4" max="4" width="11.90625" bestFit="1" customWidth="1"/>
  </cols>
  <sheetData>
    <row r="12" spans="1:16" x14ac:dyDescent="0.35">
      <c r="A12" t="s">
        <v>131</v>
      </c>
    </row>
    <row r="13" spans="1:16" x14ac:dyDescent="0.35">
      <c r="I13" s="22" t="s">
        <v>167</v>
      </c>
      <c r="J13" s="22"/>
      <c r="K13" s="22"/>
      <c r="L13" s="22"/>
      <c r="M13" s="22"/>
      <c r="N13" s="22"/>
      <c r="O13" s="22"/>
      <c r="P13" s="22"/>
    </row>
    <row r="14" spans="1:16" x14ac:dyDescent="0.35">
      <c r="A14" t="s">
        <v>132</v>
      </c>
      <c r="I14" s="22" t="s">
        <v>168</v>
      </c>
      <c r="J14" s="22"/>
      <c r="K14" s="22"/>
      <c r="L14" s="22"/>
      <c r="M14" s="22"/>
      <c r="N14" s="22"/>
      <c r="O14" s="22"/>
      <c r="P14" s="22"/>
    </row>
    <row r="15" spans="1:16" x14ac:dyDescent="0.35">
      <c r="A15" t="s">
        <v>171</v>
      </c>
      <c r="I15" s="22" t="s">
        <v>169</v>
      </c>
      <c r="J15" s="22"/>
      <c r="K15" s="22"/>
      <c r="L15" s="22"/>
      <c r="M15" s="22"/>
      <c r="N15" s="22"/>
      <c r="O15" s="22"/>
      <c r="P15" s="22"/>
    </row>
    <row r="16" spans="1:16" x14ac:dyDescent="0.35">
      <c r="I16" s="22" t="s">
        <v>170</v>
      </c>
      <c r="J16" s="22"/>
      <c r="K16" s="22"/>
      <c r="L16" s="22"/>
      <c r="M16" s="22"/>
      <c r="N16" s="22"/>
      <c r="O16" s="22"/>
      <c r="P16" s="22"/>
    </row>
    <row r="17" spans="1:16" x14ac:dyDescent="0.35">
      <c r="A17" t="s">
        <v>130</v>
      </c>
      <c r="I17" s="22"/>
      <c r="J17" s="22"/>
      <c r="K17" s="22"/>
      <c r="L17" s="22"/>
      <c r="M17" s="22"/>
      <c r="N17" s="22" t="s">
        <v>156</v>
      </c>
      <c r="O17" s="22"/>
      <c r="P17" s="22"/>
    </row>
    <row r="18" spans="1:16" x14ac:dyDescent="0.35">
      <c r="A18" t="s">
        <v>133</v>
      </c>
    </row>
    <row r="21" spans="1:16" x14ac:dyDescent="0.35">
      <c r="B21" s="1"/>
      <c r="C21" s="1"/>
      <c r="D21" s="1"/>
      <c r="E21" s="2" t="s">
        <v>99</v>
      </c>
      <c r="F21" s="3"/>
      <c r="G21" s="3"/>
    </row>
    <row r="22" spans="1:16" x14ac:dyDescent="0.35">
      <c r="B22" t="s">
        <v>98</v>
      </c>
      <c r="F22" s="36" t="s">
        <v>220</v>
      </c>
      <c r="G22" s="36" t="s">
        <v>221</v>
      </c>
    </row>
    <row r="23" spans="1:16" x14ac:dyDescent="0.35">
      <c r="C23">
        <v>695000</v>
      </c>
      <c r="D23" t="s">
        <v>134</v>
      </c>
      <c r="F23" s="4">
        <v>9800</v>
      </c>
      <c r="G23" s="4"/>
    </row>
    <row r="24" spans="1:16" x14ac:dyDescent="0.35">
      <c r="D24">
        <v>444000</v>
      </c>
      <c r="E24" t="s">
        <v>135</v>
      </c>
      <c r="F24" s="4"/>
      <c r="G24" s="4">
        <f>+F23</f>
        <v>9800</v>
      </c>
    </row>
    <row r="25" spans="1:16" x14ac:dyDescent="0.35">
      <c r="F25" s="4"/>
      <c r="G25" s="4"/>
    </row>
    <row r="26" spans="1:16" x14ac:dyDescent="0.35">
      <c r="B26" t="s">
        <v>134</v>
      </c>
    </row>
    <row r="28" spans="1:16" x14ac:dyDescent="0.35">
      <c r="A28" s="14" t="s">
        <v>166</v>
      </c>
    </row>
    <row r="29" spans="1:16" x14ac:dyDescent="0.35">
      <c r="A29" s="14"/>
    </row>
    <row r="30" spans="1:16" x14ac:dyDescent="0.35">
      <c r="A30" s="15" t="s">
        <v>140</v>
      </c>
    </row>
    <row r="41" spans="1:4" x14ac:dyDescent="0.35">
      <c r="B41" t="s">
        <v>136</v>
      </c>
    </row>
    <row r="42" spans="1:4" x14ac:dyDescent="0.35">
      <c r="B42" t="s">
        <v>137</v>
      </c>
    </row>
    <row r="43" spans="1:4" x14ac:dyDescent="0.35">
      <c r="B43" t="s">
        <v>138</v>
      </c>
      <c r="D43" s="11">
        <f>80000*25%</f>
        <v>20000</v>
      </c>
    </row>
    <row r="46" spans="1:4" x14ac:dyDescent="0.35">
      <c r="A46" s="15" t="s">
        <v>139</v>
      </c>
    </row>
    <row r="50" spans="1:17" x14ac:dyDescent="0.35">
      <c r="K50" s="22" t="s">
        <v>172</v>
      </c>
      <c r="L50" s="22"/>
      <c r="M50" s="22"/>
      <c r="N50" s="22"/>
      <c r="O50" s="22"/>
      <c r="P50" s="22"/>
      <c r="Q50" s="22"/>
    </row>
    <row r="51" spans="1:17" x14ac:dyDescent="0.35">
      <c r="K51" s="22" t="s">
        <v>173</v>
      </c>
      <c r="L51" s="22"/>
      <c r="M51" s="22"/>
      <c r="N51" s="22"/>
      <c r="O51" s="22"/>
      <c r="P51" s="22"/>
      <c r="Q51" s="22"/>
    </row>
    <row r="52" spans="1:17" x14ac:dyDescent="0.35">
      <c r="K52" s="22" t="s">
        <v>174</v>
      </c>
      <c r="L52" s="22"/>
      <c r="M52" s="22"/>
      <c r="N52" s="22"/>
      <c r="O52" s="22"/>
      <c r="P52" s="22"/>
      <c r="Q52" s="22"/>
    </row>
    <row r="53" spans="1:17" x14ac:dyDescent="0.35">
      <c r="K53" s="22" t="s">
        <v>175</v>
      </c>
      <c r="L53" s="22"/>
      <c r="M53" s="22"/>
      <c r="N53" s="22"/>
      <c r="O53" s="22"/>
      <c r="P53" s="22"/>
      <c r="Q53" s="22"/>
    </row>
    <row r="54" spans="1:17" x14ac:dyDescent="0.35">
      <c r="K54" s="22" t="s">
        <v>176</v>
      </c>
      <c r="L54" s="22"/>
      <c r="M54" s="22"/>
      <c r="N54" s="22"/>
      <c r="O54" s="22"/>
      <c r="P54" s="22"/>
      <c r="Q54" s="22"/>
    </row>
    <row r="55" spans="1:17" x14ac:dyDescent="0.35">
      <c r="K55" s="22" t="s">
        <v>177</v>
      </c>
      <c r="L55" s="22"/>
      <c r="M55" s="22"/>
      <c r="N55" s="22"/>
      <c r="O55" s="22"/>
      <c r="P55" s="22"/>
      <c r="Q55" s="22"/>
    </row>
    <row r="56" spans="1:17" x14ac:dyDescent="0.35">
      <c r="K56" s="22" t="s">
        <v>178</v>
      </c>
      <c r="L56" s="22"/>
      <c r="M56" s="22"/>
      <c r="N56" s="22"/>
      <c r="O56" s="22"/>
      <c r="P56" s="22"/>
      <c r="Q56" s="22"/>
    </row>
    <row r="57" spans="1:17" x14ac:dyDescent="0.35">
      <c r="K57" s="22" t="s">
        <v>179</v>
      </c>
      <c r="L57" s="22"/>
      <c r="M57" s="22"/>
      <c r="N57" s="22"/>
      <c r="O57" s="22"/>
      <c r="P57" s="22"/>
      <c r="Q57" s="22"/>
    </row>
    <row r="58" spans="1:17" x14ac:dyDescent="0.35">
      <c r="K58" s="22"/>
      <c r="L58" s="22"/>
      <c r="M58" s="22"/>
      <c r="N58" s="22"/>
      <c r="O58" s="22" t="s">
        <v>156</v>
      </c>
      <c r="P58" s="22"/>
      <c r="Q58" s="22"/>
    </row>
    <row r="59" spans="1:17" x14ac:dyDescent="0.35">
      <c r="A59" s="17"/>
    </row>
    <row r="60" spans="1:17" x14ac:dyDescent="0.35">
      <c r="A60" t="s">
        <v>141</v>
      </c>
    </row>
    <row r="61" spans="1:17" x14ac:dyDescent="0.35">
      <c r="A61" t="s">
        <v>142</v>
      </c>
    </row>
    <row r="63" spans="1:17" x14ac:dyDescent="0.35">
      <c r="A63" t="s">
        <v>143</v>
      </c>
    </row>
    <row r="64" spans="1:17" x14ac:dyDescent="0.35">
      <c r="A64" t="s">
        <v>144</v>
      </c>
    </row>
    <row r="66" spans="1:1" x14ac:dyDescent="0.35">
      <c r="A66" t="s">
        <v>145</v>
      </c>
    </row>
    <row r="68" spans="1:1" x14ac:dyDescent="0.35">
      <c r="A68" t="s">
        <v>146</v>
      </c>
    </row>
    <row r="70" spans="1:1" x14ac:dyDescent="0.35">
      <c r="A70" s="14" t="s">
        <v>180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Mission 1A</vt:lpstr>
      <vt:lpstr>Mission 1B</vt:lpstr>
      <vt:lpstr>Mission 2A</vt:lpstr>
      <vt:lpstr>Mission 2B</vt:lpstr>
      <vt:lpstr>Mission 3A</vt:lpstr>
      <vt:lpstr>Mission 3B</vt:lpstr>
      <vt:lpstr>Mission 4</vt:lpstr>
    </vt:vector>
  </TitlesOfParts>
  <Company>U.B.O. - D.S.I.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munier</dc:creator>
  <cp:lastModifiedBy>munier</cp:lastModifiedBy>
  <dcterms:created xsi:type="dcterms:W3CDTF">2024-05-16T19:17:07Z</dcterms:created>
  <dcterms:modified xsi:type="dcterms:W3CDTF">2024-07-04T10:45:29Z</dcterms:modified>
</cp:coreProperties>
</file>